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iajia Liu\Desktop\VPP_inertia\github\"/>
    </mc:Choice>
  </mc:AlternateContent>
  <xr:revisionPtr revIDLastSave="0" documentId="13_ncr:1_{699E02F6-FC0F-4266-9234-5283830C3B1F}" xr6:coauthVersionLast="47" xr6:coauthVersionMax="47" xr10:uidLastSave="{00000000-0000-0000-0000-000000000000}"/>
  <bookViews>
    <workbookView xWindow="1886" yWindow="1886" windowWidth="18514" windowHeight="12720" firstSheet="2" activeTab="8" xr2:uid="{00000000-000D-0000-FFFF-FFFF00000000}"/>
  </bookViews>
  <sheets>
    <sheet name="Wind" sheetId="8" r:id="rId1"/>
    <sheet name="Load" sheetId="9" r:id="rId2"/>
    <sheet name="Generator" sheetId="10" r:id="rId3"/>
    <sheet name="Line" sheetId="11" r:id="rId4"/>
    <sheet name="VPP_SG" sheetId="12" r:id="rId5"/>
    <sheet name="VPP_AM" sheetId="13" r:id="rId6"/>
    <sheet name="VPP_ES" sheetId="14" r:id="rId7"/>
    <sheet name="VPP_PV" sheetId="15" r:id="rId8"/>
    <sheet name="VPP_EV" sheetId="16" r:id="rId9"/>
    <sheet name="VPP_AC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7" l="1"/>
  <c r="H4" i="17"/>
  <c r="H5" i="17"/>
  <c r="H6" i="17"/>
  <c r="H7" i="17"/>
  <c r="H8" i="17"/>
  <c r="I3" i="12"/>
  <c r="I4" i="12"/>
  <c r="I5" i="12"/>
  <c r="I6" i="12"/>
  <c r="I7" i="12"/>
  <c r="I8" i="12"/>
  <c r="H3" i="12"/>
  <c r="H4" i="12"/>
  <c r="H5" i="12"/>
  <c r="H6" i="12"/>
  <c r="H7" i="12"/>
  <c r="H8" i="12"/>
  <c r="G4" i="12"/>
  <c r="G5" i="12"/>
  <c r="G6" i="12"/>
  <c r="G7" i="12"/>
  <c r="G8" i="12"/>
  <c r="G3" i="12"/>
  <c r="F3" i="12"/>
  <c r="F4" i="12"/>
  <c r="F5" i="12"/>
  <c r="F6" i="12"/>
  <c r="F7" i="12"/>
  <c r="F8" i="12"/>
  <c r="F7" i="10"/>
  <c r="F2" i="10"/>
  <c r="F3" i="10"/>
  <c r="F4" i="10"/>
  <c r="F5" i="10"/>
  <c r="F6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H2" i="17"/>
  <c r="E2" i="12"/>
  <c r="I2" i="12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2" i="10"/>
  <c r="O55" i="10"/>
  <c r="N55" i="10"/>
  <c r="M55" i="10"/>
  <c r="J55" i="10"/>
  <c r="H55" i="10"/>
  <c r="O54" i="10"/>
  <c r="N54" i="10"/>
  <c r="M54" i="10"/>
  <c r="J54" i="10"/>
  <c r="H54" i="10"/>
  <c r="O53" i="10"/>
  <c r="N53" i="10"/>
  <c r="M53" i="10"/>
  <c r="J53" i="10"/>
  <c r="H53" i="10"/>
  <c r="O52" i="10"/>
  <c r="N52" i="10"/>
  <c r="M52" i="10"/>
  <c r="J52" i="10"/>
  <c r="H52" i="10"/>
  <c r="O51" i="10"/>
  <c r="N51" i="10"/>
  <c r="M51" i="10"/>
  <c r="J51" i="10"/>
  <c r="H51" i="10"/>
  <c r="O50" i="10"/>
  <c r="N50" i="10"/>
  <c r="M50" i="10"/>
  <c r="J50" i="10"/>
  <c r="H50" i="10"/>
  <c r="O49" i="10"/>
  <c r="N49" i="10"/>
  <c r="M49" i="10"/>
  <c r="J49" i="10"/>
  <c r="H49" i="10"/>
  <c r="O48" i="10"/>
  <c r="N48" i="10"/>
  <c r="M48" i="10"/>
  <c r="J48" i="10"/>
  <c r="H48" i="10"/>
  <c r="O47" i="10"/>
  <c r="N47" i="10"/>
  <c r="M47" i="10"/>
  <c r="J47" i="10"/>
  <c r="H47" i="10"/>
  <c r="O46" i="10"/>
  <c r="N46" i="10"/>
  <c r="M46" i="10"/>
  <c r="J46" i="10"/>
  <c r="H46" i="10"/>
  <c r="O45" i="10"/>
  <c r="N45" i="10"/>
  <c r="M45" i="10"/>
  <c r="J45" i="10"/>
  <c r="H45" i="10"/>
  <c r="O44" i="10"/>
  <c r="N44" i="10"/>
  <c r="M44" i="10"/>
  <c r="J44" i="10"/>
  <c r="H44" i="10"/>
  <c r="O43" i="10"/>
  <c r="N43" i="10"/>
  <c r="M43" i="10"/>
  <c r="J43" i="10"/>
  <c r="H43" i="10"/>
  <c r="O42" i="10"/>
  <c r="N42" i="10"/>
  <c r="M42" i="10"/>
  <c r="J42" i="10"/>
  <c r="H42" i="10"/>
  <c r="O41" i="10"/>
  <c r="N41" i="10"/>
  <c r="M41" i="10"/>
  <c r="J41" i="10"/>
  <c r="H41" i="10"/>
  <c r="O40" i="10"/>
  <c r="N40" i="10"/>
  <c r="M40" i="10"/>
  <c r="J40" i="10"/>
  <c r="H40" i="10"/>
  <c r="O39" i="10"/>
  <c r="N39" i="10"/>
  <c r="M39" i="10"/>
  <c r="J39" i="10"/>
  <c r="H39" i="10"/>
  <c r="O38" i="10"/>
  <c r="N38" i="10"/>
  <c r="M38" i="10"/>
  <c r="J38" i="10"/>
  <c r="H38" i="10"/>
  <c r="O37" i="10"/>
  <c r="N37" i="10"/>
  <c r="M37" i="10"/>
  <c r="J37" i="10"/>
  <c r="H37" i="10"/>
  <c r="O36" i="10"/>
  <c r="N36" i="10"/>
  <c r="M36" i="10"/>
  <c r="J36" i="10"/>
  <c r="H36" i="10"/>
  <c r="O35" i="10"/>
  <c r="N35" i="10"/>
  <c r="M35" i="10"/>
  <c r="J35" i="10"/>
  <c r="H35" i="10"/>
  <c r="O34" i="10"/>
  <c r="N34" i="10"/>
  <c r="M34" i="10"/>
  <c r="J34" i="10"/>
  <c r="H34" i="10"/>
  <c r="O33" i="10"/>
  <c r="N33" i="10"/>
  <c r="M33" i="10"/>
  <c r="J33" i="10"/>
  <c r="H33" i="10"/>
  <c r="O32" i="10"/>
  <c r="N32" i="10"/>
  <c r="M32" i="10"/>
  <c r="J32" i="10"/>
  <c r="H32" i="10"/>
  <c r="O31" i="10"/>
  <c r="N31" i="10"/>
  <c r="M31" i="10"/>
  <c r="J31" i="10"/>
  <c r="H31" i="10"/>
  <c r="O30" i="10"/>
  <c r="N30" i="10"/>
  <c r="M30" i="10"/>
  <c r="J30" i="10"/>
  <c r="H30" i="10"/>
  <c r="O29" i="10"/>
  <c r="N29" i="10"/>
  <c r="M29" i="10"/>
  <c r="J29" i="10"/>
  <c r="H29" i="10"/>
  <c r="O28" i="10"/>
  <c r="N28" i="10"/>
  <c r="M28" i="10"/>
  <c r="J28" i="10"/>
  <c r="H28" i="10"/>
  <c r="O27" i="10"/>
  <c r="N27" i="10"/>
  <c r="M27" i="10"/>
  <c r="J27" i="10"/>
  <c r="H27" i="10"/>
  <c r="O26" i="10"/>
  <c r="N26" i="10"/>
  <c r="M26" i="10"/>
  <c r="J26" i="10"/>
  <c r="H26" i="10"/>
  <c r="O25" i="10"/>
  <c r="N25" i="10"/>
  <c r="M25" i="10"/>
  <c r="J25" i="10"/>
  <c r="H25" i="10"/>
  <c r="O24" i="10"/>
  <c r="N24" i="10"/>
  <c r="M24" i="10"/>
  <c r="J24" i="10"/>
  <c r="H24" i="10"/>
  <c r="O23" i="10"/>
  <c r="N23" i="10"/>
  <c r="M23" i="10"/>
  <c r="J23" i="10"/>
  <c r="H23" i="10"/>
  <c r="O22" i="10"/>
  <c r="N22" i="10"/>
  <c r="M22" i="10"/>
  <c r="J22" i="10"/>
  <c r="H22" i="10"/>
  <c r="O21" i="10"/>
  <c r="N21" i="10"/>
  <c r="M21" i="10"/>
  <c r="J21" i="10"/>
  <c r="H21" i="10"/>
  <c r="O20" i="10"/>
  <c r="N20" i="10"/>
  <c r="M20" i="10"/>
  <c r="J20" i="10"/>
  <c r="H20" i="10"/>
  <c r="O19" i="10"/>
  <c r="N19" i="10"/>
  <c r="M19" i="10"/>
  <c r="J19" i="10"/>
  <c r="H19" i="10"/>
  <c r="O18" i="10"/>
  <c r="N18" i="10"/>
  <c r="M18" i="10"/>
  <c r="J18" i="10"/>
  <c r="H18" i="10"/>
  <c r="O17" i="10"/>
  <c r="N17" i="10"/>
  <c r="M17" i="10"/>
  <c r="J17" i="10"/>
  <c r="H17" i="10"/>
  <c r="O16" i="10"/>
  <c r="N16" i="10"/>
  <c r="M16" i="10"/>
  <c r="J16" i="10"/>
  <c r="H16" i="10"/>
  <c r="O15" i="10"/>
  <c r="N15" i="10"/>
  <c r="M15" i="10"/>
  <c r="J15" i="10"/>
  <c r="H15" i="10"/>
  <c r="O14" i="10"/>
  <c r="N14" i="10"/>
  <c r="M14" i="10"/>
  <c r="J14" i="10"/>
  <c r="H14" i="10"/>
  <c r="O13" i="10"/>
  <c r="N13" i="10"/>
  <c r="M13" i="10"/>
  <c r="J13" i="10"/>
  <c r="H13" i="10"/>
  <c r="O12" i="10"/>
  <c r="N12" i="10"/>
  <c r="M12" i="10"/>
  <c r="J12" i="10"/>
  <c r="H12" i="10"/>
  <c r="O11" i="10"/>
  <c r="N11" i="10"/>
  <c r="M11" i="10"/>
  <c r="J11" i="10"/>
  <c r="H11" i="10"/>
  <c r="O10" i="10"/>
  <c r="N10" i="10"/>
  <c r="M10" i="10"/>
  <c r="J10" i="10"/>
  <c r="H10" i="10"/>
  <c r="O9" i="10"/>
  <c r="N9" i="10"/>
  <c r="M9" i="10"/>
  <c r="J9" i="10"/>
  <c r="H9" i="10"/>
  <c r="O8" i="10"/>
  <c r="N8" i="10"/>
  <c r="M8" i="10"/>
  <c r="J8" i="10"/>
  <c r="H8" i="10"/>
  <c r="O7" i="10"/>
  <c r="N7" i="10"/>
  <c r="M7" i="10"/>
  <c r="J7" i="10"/>
  <c r="H7" i="10"/>
  <c r="O6" i="10"/>
  <c r="N6" i="10"/>
  <c r="M6" i="10"/>
  <c r="J6" i="10"/>
  <c r="H6" i="10"/>
  <c r="O5" i="10"/>
  <c r="N5" i="10"/>
  <c r="M5" i="10"/>
  <c r="J5" i="10"/>
  <c r="H5" i="10"/>
  <c r="O4" i="10"/>
  <c r="N4" i="10"/>
  <c r="M4" i="10"/>
  <c r="J4" i="10"/>
  <c r="H4" i="10"/>
  <c r="O3" i="10"/>
  <c r="N3" i="10"/>
  <c r="M3" i="10"/>
  <c r="J3" i="10"/>
  <c r="H3" i="10"/>
  <c r="O2" i="10"/>
  <c r="N2" i="10"/>
  <c r="M2" i="10"/>
  <c r="J2" i="10"/>
  <c r="H2" i="10"/>
  <c r="CT3" i="9"/>
  <c r="CT4" i="9"/>
  <c r="CT5" i="9"/>
  <c r="CT6" i="9"/>
  <c r="CT7" i="9"/>
  <c r="CT8" i="9"/>
  <c r="CT9" i="9"/>
  <c r="CT10" i="9"/>
  <c r="CT11" i="9"/>
  <c r="CT12" i="9"/>
  <c r="CT13" i="9"/>
  <c r="CT14" i="9"/>
  <c r="CT15" i="9"/>
  <c r="CT16" i="9"/>
  <c r="CT17" i="9"/>
  <c r="CT18" i="9"/>
  <c r="CT19" i="9"/>
  <c r="CT20" i="9"/>
  <c r="CT21" i="9"/>
  <c r="CT22" i="9"/>
  <c r="CT23" i="9"/>
  <c r="CT24" i="9"/>
  <c r="CT25" i="9"/>
  <c r="CU3" i="9"/>
  <c r="CU4" i="9"/>
  <c r="CU5" i="9"/>
  <c r="CU6" i="9"/>
  <c r="CU7" i="9"/>
  <c r="CU8" i="9"/>
  <c r="CU9" i="9"/>
  <c r="CU10" i="9"/>
  <c r="CU11" i="9"/>
  <c r="CU12" i="9"/>
  <c r="CU13" i="9"/>
  <c r="CU14" i="9"/>
  <c r="CU15" i="9"/>
  <c r="CU16" i="9"/>
  <c r="CU17" i="9"/>
  <c r="CU18" i="9"/>
  <c r="CU19" i="9"/>
  <c r="CU20" i="9"/>
  <c r="CU21" i="9"/>
  <c r="CU22" i="9"/>
  <c r="CU23" i="9"/>
  <c r="CU24" i="9"/>
  <c r="CU25" i="9"/>
  <c r="CU2" i="9"/>
  <c r="CT2" i="9"/>
  <c r="CS3" i="9"/>
  <c r="CS4" i="9"/>
  <c r="CS5" i="9"/>
  <c r="CS6" i="9"/>
  <c r="CS7" i="9"/>
  <c r="CS8" i="9"/>
  <c r="CS9" i="9"/>
  <c r="CS10" i="9"/>
  <c r="CS11" i="9"/>
  <c r="CS12" i="9"/>
  <c r="CS13" i="9"/>
  <c r="CS14" i="9"/>
  <c r="CS15" i="9"/>
  <c r="CS16" i="9"/>
  <c r="CS17" i="9"/>
  <c r="CS18" i="9"/>
  <c r="CS19" i="9"/>
  <c r="CS20" i="9"/>
  <c r="CS21" i="9"/>
  <c r="CS22" i="9"/>
  <c r="CS23" i="9"/>
  <c r="CS24" i="9"/>
  <c r="CS25" i="9"/>
  <c r="CS2" i="9"/>
  <c r="CR3" i="9"/>
  <c r="CR4" i="9"/>
  <c r="CR5" i="9"/>
  <c r="CR6" i="9"/>
  <c r="CR7" i="9"/>
  <c r="CR8" i="9"/>
  <c r="CR9" i="9"/>
  <c r="CR10" i="9"/>
  <c r="CR11" i="9"/>
  <c r="CR12" i="9"/>
  <c r="CR13" i="9"/>
  <c r="CR14" i="9"/>
  <c r="CR15" i="9"/>
  <c r="CR16" i="9"/>
  <c r="CR17" i="9"/>
  <c r="CR18" i="9"/>
  <c r="CR19" i="9"/>
  <c r="CR20" i="9"/>
  <c r="CR21" i="9"/>
  <c r="CR22" i="9"/>
  <c r="CR23" i="9"/>
  <c r="CR24" i="9"/>
  <c r="CR25" i="9"/>
  <c r="CR2" i="9"/>
  <c r="CQ3" i="9"/>
  <c r="CQ4" i="9"/>
  <c r="CQ5" i="9"/>
  <c r="CQ6" i="9"/>
  <c r="CQ7" i="9"/>
  <c r="CQ8" i="9"/>
  <c r="CQ9" i="9"/>
  <c r="CQ10" i="9"/>
  <c r="CQ11" i="9"/>
  <c r="CQ12" i="9"/>
  <c r="CQ13" i="9"/>
  <c r="CQ14" i="9"/>
  <c r="CQ15" i="9"/>
  <c r="CQ16" i="9"/>
  <c r="CQ17" i="9"/>
  <c r="CQ18" i="9"/>
  <c r="CQ19" i="9"/>
  <c r="CQ20" i="9"/>
  <c r="CQ21" i="9"/>
  <c r="CQ22" i="9"/>
  <c r="CQ23" i="9"/>
  <c r="CQ24" i="9"/>
  <c r="CQ25" i="9"/>
  <c r="CQ2" i="9"/>
  <c r="CP3" i="9"/>
  <c r="CP4" i="9"/>
  <c r="CP5" i="9"/>
  <c r="CP6" i="9"/>
  <c r="CP7" i="9"/>
  <c r="CP8" i="9"/>
  <c r="CP9" i="9"/>
  <c r="CP10" i="9"/>
  <c r="CP11" i="9"/>
  <c r="CP12" i="9"/>
  <c r="CP13" i="9"/>
  <c r="CP14" i="9"/>
  <c r="CP15" i="9"/>
  <c r="CP16" i="9"/>
  <c r="CP17" i="9"/>
  <c r="CP18" i="9"/>
  <c r="CP19" i="9"/>
  <c r="CP20" i="9"/>
  <c r="CP21" i="9"/>
  <c r="CP22" i="9"/>
  <c r="CP23" i="9"/>
  <c r="CP24" i="9"/>
  <c r="CP25" i="9"/>
  <c r="CP2" i="9"/>
  <c r="CO3" i="9"/>
  <c r="CO4" i="9"/>
  <c r="CO5" i="9"/>
  <c r="CO6" i="9"/>
  <c r="CO7" i="9"/>
  <c r="CO8" i="9"/>
  <c r="CO9" i="9"/>
  <c r="CO10" i="9"/>
  <c r="CO11" i="9"/>
  <c r="CO12" i="9"/>
  <c r="CO13" i="9"/>
  <c r="CO14" i="9"/>
  <c r="CO15" i="9"/>
  <c r="CO16" i="9"/>
  <c r="CO17" i="9"/>
  <c r="CO18" i="9"/>
  <c r="CO19" i="9"/>
  <c r="CO20" i="9"/>
  <c r="CO21" i="9"/>
  <c r="CO22" i="9"/>
  <c r="CO23" i="9"/>
  <c r="CO24" i="9"/>
  <c r="CO25" i="9"/>
  <c r="CO2" i="9"/>
  <c r="CN3" i="9"/>
  <c r="CN4" i="9"/>
  <c r="CN5" i="9"/>
  <c r="CN6" i="9"/>
  <c r="CN7" i="9"/>
  <c r="CN8" i="9"/>
  <c r="CN9" i="9"/>
  <c r="CN10" i="9"/>
  <c r="CN11" i="9"/>
  <c r="CN12" i="9"/>
  <c r="CN13" i="9"/>
  <c r="CN14" i="9"/>
  <c r="CN15" i="9"/>
  <c r="CN16" i="9"/>
  <c r="CN17" i="9"/>
  <c r="CN18" i="9"/>
  <c r="CN19" i="9"/>
  <c r="CN20" i="9"/>
  <c r="CN21" i="9"/>
  <c r="CN22" i="9"/>
  <c r="CN23" i="9"/>
  <c r="CN24" i="9"/>
  <c r="CN25" i="9"/>
  <c r="CN2" i="9"/>
  <c r="CL3" i="9"/>
  <c r="CL4" i="9"/>
  <c r="CL5" i="9"/>
  <c r="CL6" i="9"/>
  <c r="CL7" i="9"/>
  <c r="CL8" i="9"/>
  <c r="CL9" i="9"/>
  <c r="CL10" i="9"/>
  <c r="CL11" i="9"/>
  <c r="CL12" i="9"/>
  <c r="CL13" i="9"/>
  <c r="CL14" i="9"/>
  <c r="CL15" i="9"/>
  <c r="CL16" i="9"/>
  <c r="CL17" i="9"/>
  <c r="CL18" i="9"/>
  <c r="CL19" i="9"/>
  <c r="CL20" i="9"/>
  <c r="CL21" i="9"/>
  <c r="CL22" i="9"/>
  <c r="CL23" i="9"/>
  <c r="CL24" i="9"/>
  <c r="CL25" i="9"/>
  <c r="CJ3" i="9"/>
  <c r="CJ4" i="9"/>
  <c r="CJ5" i="9"/>
  <c r="CJ6" i="9"/>
  <c r="CJ7" i="9"/>
  <c r="CJ8" i="9"/>
  <c r="CJ9" i="9"/>
  <c r="CJ10" i="9"/>
  <c r="CJ11" i="9"/>
  <c r="CJ12" i="9"/>
  <c r="CJ13" i="9"/>
  <c r="CJ14" i="9"/>
  <c r="CJ15" i="9"/>
  <c r="CJ16" i="9"/>
  <c r="CJ17" i="9"/>
  <c r="CJ18" i="9"/>
  <c r="CJ19" i="9"/>
  <c r="CJ20" i="9"/>
  <c r="CJ21" i="9"/>
  <c r="CJ22" i="9"/>
  <c r="CJ23" i="9"/>
  <c r="CJ24" i="9"/>
  <c r="CJ25" i="9"/>
  <c r="CI3" i="9"/>
  <c r="CI4" i="9"/>
  <c r="CI5" i="9"/>
  <c r="CI6" i="9"/>
  <c r="CI7" i="9"/>
  <c r="CI8" i="9"/>
  <c r="CI9" i="9"/>
  <c r="CI10" i="9"/>
  <c r="CI11" i="9"/>
  <c r="CI12" i="9"/>
  <c r="CI13" i="9"/>
  <c r="CI14" i="9"/>
  <c r="CI15" i="9"/>
  <c r="CI16" i="9"/>
  <c r="CI17" i="9"/>
  <c r="CI18" i="9"/>
  <c r="CI19" i="9"/>
  <c r="CI20" i="9"/>
  <c r="CI21" i="9"/>
  <c r="CI22" i="9"/>
  <c r="CI23" i="9"/>
  <c r="CI24" i="9"/>
  <c r="CI25" i="9"/>
  <c r="CH3" i="9"/>
  <c r="CH4" i="9"/>
  <c r="CH5" i="9"/>
  <c r="CH6" i="9"/>
  <c r="CH7" i="9"/>
  <c r="CH8" i="9"/>
  <c r="CH9" i="9"/>
  <c r="CH10" i="9"/>
  <c r="CH11" i="9"/>
  <c r="CH12" i="9"/>
  <c r="CH13" i="9"/>
  <c r="CH14" i="9"/>
  <c r="CH15" i="9"/>
  <c r="CH16" i="9"/>
  <c r="CH17" i="9"/>
  <c r="CH18" i="9"/>
  <c r="CH19" i="9"/>
  <c r="CH20" i="9"/>
  <c r="CH21" i="9"/>
  <c r="CH22" i="9"/>
  <c r="CH23" i="9"/>
  <c r="CH24" i="9"/>
  <c r="CH25" i="9"/>
  <c r="CG3" i="9"/>
  <c r="CG4" i="9"/>
  <c r="CG5" i="9"/>
  <c r="CG6" i="9"/>
  <c r="CG7" i="9"/>
  <c r="CG8" i="9"/>
  <c r="CG9" i="9"/>
  <c r="CG10" i="9"/>
  <c r="CG11" i="9"/>
  <c r="CG12" i="9"/>
  <c r="CG13" i="9"/>
  <c r="CG14" i="9"/>
  <c r="CG15" i="9"/>
  <c r="CG16" i="9"/>
  <c r="CG17" i="9"/>
  <c r="CG18" i="9"/>
  <c r="CG19" i="9"/>
  <c r="CG20" i="9"/>
  <c r="CG21" i="9"/>
  <c r="CG22" i="9"/>
  <c r="CG23" i="9"/>
  <c r="CG24" i="9"/>
  <c r="CG25" i="9"/>
  <c r="CF3" i="9"/>
  <c r="CF4" i="9"/>
  <c r="CF5" i="9"/>
  <c r="CF6" i="9"/>
  <c r="CF7" i="9"/>
  <c r="CF8" i="9"/>
  <c r="CF9" i="9"/>
  <c r="CF10" i="9"/>
  <c r="CF11" i="9"/>
  <c r="CF12" i="9"/>
  <c r="CF13" i="9"/>
  <c r="CF14" i="9"/>
  <c r="CF15" i="9"/>
  <c r="CF16" i="9"/>
  <c r="CF17" i="9"/>
  <c r="CF18" i="9"/>
  <c r="CF19" i="9"/>
  <c r="CF20" i="9"/>
  <c r="CF21" i="9"/>
  <c r="CF22" i="9"/>
  <c r="CF23" i="9"/>
  <c r="CF24" i="9"/>
  <c r="CF25" i="9"/>
  <c r="CL2" i="9"/>
  <c r="CJ2" i="9"/>
  <c r="CI2" i="9"/>
  <c r="CH2" i="9"/>
  <c r="CG2" i="9"/>
  <c r="CF2" i="9"/>
  <c r="CD3" i="9"/>
  <c r="CD4" i="9"/>
  <c r="CD5" i="9"/>
  <c r="CD6" i="9"/>
  <c r="CD7" i="9"/>
  <c r="CD8" i="9"/>
  <c r="CD9" i="9"/>
  <c r="CD10" i="9"/>
  <c r="CD11" i="9"/>
  <c r="CD12" i="9"/>
  <c r="CD13" i="9"/>
  <c r="CD14" i="9"/>
  <c r="CD15" i="9"/>
  <c r="CD16" i="9"/>
  <c r="CD17" i="9"/>
  <c r="CD18" i="9"/>
  <c r="CD19" i="9"/>
  <c r="CD20" i="9"/>
  <c r="CD21" i="9"/>
  <c r="CD22" i="9"/>
  <c r="CD23" i="9"/>
  <c r="CD24" i="9"/>
  <c r="CD25" i="9"/>
  <c r="CD2" i="9"/>
  <c r="CC3" i="9"/>
  <c r="CC4" i="9"/>
  <c r="CC5" i="9"/>
  <c r="CC6" i="9"/>
  <c r="CC7" i="9"/>
  <c r="CC8" i="9"/>
  <c r="CC9" i="9"/>
  <c r="CC10" i="9"/>
  <c r="CC11" i="9"/>
  <c r="CC12" i="9"/>
  <c r="CC13" i="9"/>
  <c r="CC14" i="9"/>
  <c r="CC15" i="9"/>
  <c r="CC16" i="9"/>
  <c r="CC17" i="9"/>
  <c r="CC18" i="9"/>
  <c r="CC19" i="9"/>
  <c r="CC20" i="9"/>
  <c r="CC21" i="9"/>
  <c r="CC22" i="9"/>
  <c r="CC23" i="9"/>
  <c r="CC24" i="9"/>
  <c r="CC25" i="9"/>
  <c r="CC2" i="9"/>
  <c r="CB3" i="9"/>
  <c r="CB4" i="9"/>
  <c r="CB5" i="9"/>
  <c r="CB6" i="9"/>
  <c r="CB7" i="9"/>
  <c r="CB8" i="9"/>
  <c r="CB9" i="9"/>
  <c r="CB10" i="9"/>
  <c r="CB11" i="9"/>
  <c r="CB12" i="9"/>
  <c r="CB13" i="9"/>
  <c r="CB14" i="9"/>
  <c r="CB15" i="9"/>
  <c r="CB16" i="9"/>
  <c r="CB17" i="9"/>
  <c r="CB18" i="9"/>
  <c r="CB19" i="9"/>
  <c r="CB20" i="9"/>
  <c r="CB21" i="9"/>
  <c r="CB22" i="9"/>
  <c r="CB23" i="9"/>
  <c r="CB24" i="9"/>
  <c r="CB25" i="9"/>
  <c r="CB2" i="9"/>
  <c r="CA3" i="9"/>
  <c r="CA4" i="9"/>
  <c r="CA5" i="9"/>
  <c r="CA6" i="9"/>
  <c r="CA7" i="9"/>
  <c r="CA8" i="9"/>
  <c r="CA9" i="9"/>
  <c r="CA10" i="9"/>
  <c r="CA11" i="9"/>
  <c r="CA12" i="9"/>
  <c r="CA13" i="9"/>
  <c r="CA14" i="9"/>
  <c r="CA15" i="9"/>
  <c r="CA16" i="9"/>
  <c r="CA17" i="9"/>
  <c r="CA18" i="9"/>
  <c r="CA19" i="9"/>
  <c r="CA20" i="9"/>
  <c r="CA21" i="9"/>
  <c r="CA22" i="9"/>
  <c r="CA23" i="9"/>
  <c r="CA24" i="9"/>
  <c r="CA25" i="9"/>
  <c r="CA2" i="9"/>
  <c r="BZ3" i="9"/>
  <c r="BZ4" i="9"/>
  <c r="BZ5" i="9"/>
  <c r="BZ6" i="9"/>
  <c r="BZ7" i="9"/>
  <c r="BZ8" i="9"/>
  <c r="BZ9" i="9"/>
  <c r="BZ10" i="9"/>
  <c r="BZ11" i="9"/>
  <c r="BZ12" i="9"/>
  <c r="BZ13" i="9"/>
  <c r="BZ14" i="9"/>
  <c r="BZ15" i="9"/>
  <c r="BZ16" i="9"/>
  <c r="BZ17" i="9"/>
  <c r="BZ18" i="9"/>
  <c r="BZ19" i="9"/>
  <c r="BZ20" i="9"/>
  <c r="BZ21" i="9"/>
  <c r="BZ22" i="9"/>
  <c r="BZ23" i="9"/>
  <c r="BZ24" i="9"/>
  <c r="BZ25" i="9"/>
  <c r="BZ2" i="9"/>
  <c r="BY3" i="9"/>
  <c r="BY4" i="9"/>
  <c r="BY5" i="9"/>
  <c r="BY6" i="9"/>
  <c r="BY7" i="9"/>
  <c r="BY8" i="9"/>
  <c r="BY9" i="9"/>
  <c r="BY10" i="9"/>
  <c r="BY11" i="9"/>
  <c r="BY12" i="9"/>
  <c r="BY13" i="9"/>
  <c r="BY14" i="9"/>
  <c r="BY15" i="9"/>
  <c r="BY16" i="9"/>
  <c r="BY17" i="9"/>
  <c r="BY18" i="9"/>
  <c r="BY19" i="9"/>
  <c r="BY20" i="9"/>
  <c r="BY21" i="9"/>
  <c r="BY22" i="9"/>
  <c r="BY23" i="9"/>
  <c r="BY24" i="9"/>
  <c r="BY25" i="9"/>
  <c r="BY2" i="9"/>
  <c r="BX3" i="9"/>
  <c r="BX4" i="9"/>
  <c r="BX5" i="9"/>
  <c r="BX6" i="9"/>
  <c r="BX7" i="9"/>
  <c r="BX8" i="9"/>
  <c r="BX9" i="9"/>
  <c r="BX10" i="9"/>
  <c r="BX11" i="9"/>
  <c r="BX12" i="9"/>
  <c r="BX13" i="9"/>
  <c r="BX14" i="9"/>
  <c r="BX15" i="9"/>
  <c r="BX16" i="9"/>
  <c r="BX17" i="9"/>
  <c r="BX18" i="9"/>
  <c r="BX19" i="9"/>
  <c r="BX20" i="9"/>
  <c r="BX21" i="9"/>
  <c r="BX22" i="9"/>
  <c r="BX23" i="9"/>
  <c r="BX24" i="9"/>
  <c r="BX25" i="9"/>
  <c r="BX2" i="9"/>
  <c r="BW3" i="9"/>
  <c r="BW4" i="9"/>
  <c r="BW5" i="9"/>
  <c r="BW6" i="9"/>
  <c r="BW7" i="9"/>
  <c r="BW8" i="9"/>
  <c r="BW9" i="9"/>
  <c r="BW10" i="9"/>
  <c r="BW11" i="9"/>
  <c r="BW12" i="9"/>
  <c r="BW13" i="9"/>
  <c r="BW14" i="9"/>
  <c r="BW15" i="9"/>
  <c r="BW16" i="9"/>
  <c r="BW17" i="9"/>
  <c r="BW18" i="9"/>
  <c r="BW19" i="9"/>
  <c r="BW20" i="9"/>
  <c r="BW21" i="9"/>
  <c r="BW22" i="9"/>
  <c r="BW23" i="9"/>
  <c r="BW24" i="9"/>
  <c r="BW25" i="9"/>
  <c r="BW2" i="9"/>
  <c r="BV3" i="9"/>
  <c r="BV4" i="9"/>
  <c r="BV5" i="9"/>
  <c r="BV6" i="9"/>
  <c r="BV7" i="9"/>
  <c r="BV8" i="9"/>
  <c r="BV9" i="9"/>
  <c r="BV10" i="9"/>
  <c r="BV11" i="9"/>
  <c r="BV12" i="9"/>
  <c r="BV13" i="9"/>
  <c r="BV14" i="9"/>
  <c r="BV15" i="9"/>
  <c r="BV16" i="9"/>
  <c r="BV17" i="9"/>
  <c r="BV18" i="9"/>
  <c r="BV19" i="9"/>
  <c r="BV20" i="9"/>
  <c r="BV21" i="9"/>
  <c r="BV22" i="9"/>
  <c r="BV23" i="9"/>
  <c r="BV24" i="9"/>
  <c r="BV25" i="9"/>
  <c r="BV2" i="9"/>
  <c r="BT3" i="9"/>
  <c r="BT4" i="9"/>
  <c r="BT5" i="9"/>
  <c r="BT6" i="9"/>
  <c r="BT7" i="9"/>
  <c r="BT8" i="9"/>
  <c r="BT9" i="9"/>
  <c r="BT10" i="9"/>
  <c r="BT11" i="9"/>
  <c r="BT12" i="9"/>
  <c r="BT13" i="9"/>
  <c r="BT14" i="9"/>
  <c r="BT15" i="9"/>
  <c r="BT16" i="9"/>
  <c r="BT17" i="9"/>
  <c r="BT18" i="9"/>
  <c r="BT19" i="9"/>
  <c r="BT20" i="9"/>
  <c r="BT21" i="9"/>
  <c r="BT22" i="9"/>
  <c r="BT23" i="9"/>
  <c r="BT24" i="9"/>
  <c r="BT25" i="9"/>
  <c r="BT2" i="9"/>
  <c r="BQ3" i="9"/>
  <c r="BQ4" i="9"/>
  <c r="BQ5" i="9"/>
  <c r="BQ6" i="9"/>
  <c r="BQ7" i="9"/>
  <c r="BQ8" i="9"/>
  <c r="BQ9" i="9"/>
  <c r="BQ10" i="9"/>
  <c r="BQ11" i="9"/>
  <c r="BQ12" i="9"/>
  <c r="BQ13" i="9"/>
  <c r="BQ14" i="9"/>
  <c r="BQ15" i="9"/>
  <c r="BQ16" i="9"/>
  <c r="BQ17" i="9"/>
  <c r="BQ18" i="9"/>
  <c r="BQ19" i="9"/>
  <c r="BQ20" i="9"/>
  <c r="BQ21" i="9"/>
  <c r="BQ22" i="9"/>
  <c r="BQ23" i="9"/>
  <c r="BQ24" i="9"/>
  <c r="BQ25" i="9"/>
  <c r="BQ2" i="9"/>
  <c r="BP3" i="9"/>
  <c r="BP4" i="9"/>
  <c r="BP5" i="9"/>
  <c r="BP6" i="9"/>
  <c r="BP7" i="9"/>
  <c r="BP8" i="9"/>
  <c r="BP9" i="9"/>
  <c r="BP10" i="9"/>
  <c r="BP11" i="9"/>
  <c r="BP12" i="9"/>
  <c r="BP13" i="9"/>
  <c r="BP14" i="9"/>
  <c r="BP15" i="9"/>
  <c r="BP16" i="9"/>
  <c r="BP17" i="9"/>
  <c r="BP18" i="9"/>
  <c r="BP19" i="9"/>
  <c r="BP20" i="9"/>
  <c r="BP21" i="9"/>
  <c r="BP22" i="9"/>
  <c r="BP23" i="9"/>
  <c r="BP24" i="9"/>
  <c r="BP25" i="9"/>
  <c r="BP2" i="9"/>
  <c r="BL3" i="9"/>
  <c r="BL4" i="9"/>
  <c r="BL5" i="9"/>
  <c r="BL6" i="9"/>
  <c r="BL7" i="9"/>
  <c r="BL8" i="9"/>
  <c r="BL9" i="9"/>
  <c r="BL10" i="9"/>
  <c r="BL11" i="9"/>
  <c r="BL12" i="9"/>
  <c r="BL13" i="9"/>
  <c r="BL14" i="9"/>
  <c r="BL15" i="9"/>
  <c r="BL16" i="9"/>
  <c r="BL17" i="9"/>
  <c r="BL18" i="9"/>
  <c r="BL19" i="9"/>
  <c r="BL20" i="9"/>
  <c r="BL21" i="9"/>
  <c r="BL22" i="9"/>
  <c r="BL23" i="9"/>
  <c r="BL24" i="9"/>
  <c r="BL25" i="9"/>
  <c r="BL2" i="9"/>
  <c r="BJ3" i="9"/>
  <c r="BJ4" i="9"/>
  <c r="BJ5" i="9"/>
  <c r="BJ6" i="9"/>
  <c r="BJ7" i="9"/>
  <c r="BJ8" i="9"/>
  <c r="BJ9" i="9"/>
  <c r="BJ10" i="9"/>
  <c r="BJ11" i="9"/>
  <c r="BJ12" i="9"/>
  <c r="BJ13" i="9"/>
  <c r="BJ14" i="9"/>
  <c r="BJ15" i="9"/>
  <c r="BJ16" i="9"/>
  <c r="BJ17" i="9"/>
  <c r="BJ18" i="9"/>
  <c r="BJ19" i="9"/>
  <c r="BJ20" i="9"/>
  <c r="BJ21" i="9"/>
  <c r="BJ22" i="9"/>
  <c r="BJ23" i="9"/>
  <c r="BJ24" i="9"/>
  <c r="BJ25" i="9"/>
  <c r="BJ2" i="9"/>
  <c r="BI3" i="9"/>
  <c r="BI4" i="9"/>
  <c r="BI5" i="9"/>
  <c r="BI6" i="9"/>
  <c r="BI7" i="9"/>
  <c r="BI8" i="9"/>
  <c r="BI9" i="9"/>
  <c r="BI10" i="9"/>
  <c r="BI11" i="9"/>
  <c r="BI12" i="9"/>
  <c r="BI13" i="9"/>
  <c r="BI14" i="9"/>
  <c r="BI15" i="9"/>
  <c r="BI16" i="9"/>
  <c r="BI17" i="9"/>
  <c r="BI18" i="9"/>
  <c r="BI19" i="9"/>
  <c r="BI20" i="9"/>
  <c r="BI21" i="9"/>
  <c r="BI22" i="9"/>
  <c r="BI23" i="9"/>
  <c r="BI24" i="9"/>
  <c r="BI25" i="9"/>
  <c r="BI2" i="9"/>
  <c r="BH3" i="9"/>
  <c r="BH4" i="9"/>
  <c r="BH5" i="9"/>
  <c r="BH6" i="9"/>
  <c r="BH7" i="9"/>
  <c r="BH8" i="9"/>
  <c r="BH9" i="9"/>
  <c r="BH10" i="9"/>
  <c r="BH11" i="9"/>
  <c r="BH12" i="9"/>
  <c r="BH13" i="9"/>
  <c r="BH14" i="9"/>
  <c r="BH15" i="9"/>
  <c r="BH16" i="9"/>
  <c r="BH17" i="9"/>
  <c r="BH18" i="9"/>
  <c r="BH19" i="9"/>
  <c r="BH20" i="9"/>
  <c r="BH21" i="9"/>
  <c r="BH22" i="9"/>
  <c r="BH23" i="9"/>
  <c r="BH24" i="9"/>
  <c r="BH25" i="9"/>
  <c r="BH2" i="9"/>
  <c r="BG3" i="9"/>
  <c r="BG4" i="9"/>
  <c r="BG5" i="9"/>
  <c r="BG6" i="9"/>
  <c r="BG7" i="9"/>
  <c r="BG8" i="9"/>
  <c r="BG9" i="9"/>
  <c r="BG10" i="9"/>
  <c r="BG11" i="9"/>
  <c r="BG12" i="9"/>
  <c r="BG13" i="9"/>
  <c r="BG14" i="9"/>
  <c r="BG15" i="9"/>
  <c r="BG16" i="9"/>
  <c r="BG17" i="9"/>
  <c r="BG18" i="9"/>
  <c r="BG19" i="9"/>
  <c r="BG20" i="9"/>
  <c r="BG21" i="9"/>
  <c r="BG22" i="9"/>
  <c r="BG23" i="9"/>
  <c r="BG24" i="9"/>
  <c r="BG25" i="9"/>
  <c r="BG2" i="9"/>
  <c r="CV3" i="9"/>
  <c r="CV4" i="9"/>
  <c r="CV5" i="9"/>
  <c r="CV6" i="9"/>
  <c r="CV7" i="9"/>
  <c r="CV8" i="9"/>
  <c r="CV9" i="9"/>
  <c r="CV10" i="9"/>
  <c r="CV11" i="9"/>
  <c r="CV12" i="9"/>
  <c r="CV13" i="9"/>
  <c r="CV14" i="9"/>
  <c r="CV15" i="9"/>
  <c r="CV16" i="9"/>
  <c r="CV17" i="9"/>
  <c r="CV18" i="9"/>
  <c r="CV19" i="9"/>
  <c r="CV20" i="9"/>
  <c r="CV21" i="9"/>
  <c r="CV22" i="9"/>
  <c r="CV23" i="9"/>
  <c r="CV24" i="9"/>
  <c r="CV25" i="9"/>
  <c r="CV2" i="9"/>
  <c r="CW3" i="9"/>
  <c r="CW4" i="9"/>
  <c r="CW5" i="9"/>
  <c r="CW6" i="9"/>
  <c r="CW7" i="9"/>
  <c r="CW8" i="9"/>
  <c r="CW9" i="9"/>
  <c r="CW10" i="9"/>
  <c r="CW11" i="9"/>
  <c r="CW12" i="9"/>
  <c r="CW13" i="9"/>
  <c r="CW14" i="9"/>
  <c r="CW15" i="9"/>
  <c r="CW16" i="9"/>
  <c r="CW17" i="9"/>
  <c r="CW18" i="9"/>
  <c r="CW19" i="9"/>
  <c r="CW20" i="9"/>
  <c r="CW21" i="9"/>
  <c r="CW22" i="9"/>
  <c r="CW23" i="9"/>
  <c r="CW24" i="9"/>
  <c r="CW25" i="9"/>
  <c r="CW2" i="9"/>
  <c r="CX3" i="9"/>
  <c r="CX4" i="9"/>
  <c r="CX5" i="9"/>
  <c r="CX6" i="9"/>
  <c r="CX7" i="9"/>
  <c r="CX8" i="9"/>
  <c r="CX9" i="9"/>
  <c r="CX10" i="9"/>
  <c r="CX11" i="9"/>
  <c r="CX12" i="9"/>
  <c r="CX13" i="9"/>
  <c r="CX14" i="9"/>
  <c r="CX15" i="9"/>
  <c r="CX16" i="9"/>
  <c r="CX17" i="9"/>
  <c r="CX18" i="9"/>
  <c r="CX19" i="9"/>
  <c r="CX20" i="9"/>
  <c r="CX21" i="9"/>
  <c r="CX22" i="9"/>
  <c r="CX23" i="9"/>
  <c r="CX24" i="9"/>
  <c r="CX25" i="9"/>
  <c r="CX2" i="9"/>
  <c r="CY3" i="9"/>
  <c r="CY4" i="9"/>
  <c r="CY5" i="9"/>
  <c r="CY6" i="9"/>
  <c r="CY7" i="9"/>
  <c r="CY8" i="9"/>
  <c r="CY9" i="9"/>
  <c r="CY10" i="9"/>
  <c r="CY11" i="9"/>
  <c r="CY12" i="9"/>
  <c r="CY13" i="9"/>
  <c r="CY14" i="9"/>
  <c r="CY15" i="9"/>
  <c r="CY16" i="9"/>
  <c r="CY17" i="9"/>
  <c r="CY18" i="9"/>
  <c r="CY19" i="9"/>
  <c r="CY20" i="9"/>
  <c r="CY21" i="9"/>
  <c r="CY22" i="9"/>
  <c r="CY23" i="9"/>
  <c r="CY24" i="9"/>
  <c r="CY25" i="9"/>
  <c r="CY2" i="9"/>
  <c r="CZ3" i="9"/>
  <c r="CZ4" i="9"/>
  <c r="CZ5" i="9"/>
  <c r="CZ6" i="9"/>
  <c r="CZ7" i="9"/>
  <c r="CZ8" i="9"/>
  <c r="CZ9" i="9"/>
  <c r="CZ10" i="9"/>
  <c r="CZ11" i="9"/>
  <c r="CZ12" i="9"/>
  <c r="CZ13" i="9"/>
  <c r="CZ14" i="9"/>
  <c r="CZ15" i="9"/>
  <c r="CZ16" i="9"/>
  <c r="CZ17" i="9"/>
  <c r="CZ18" i="9"/>
  <c r="CZ19" i="9"/>
  <c r="CZ20" i="9"/>
  <c r="CZ21" i="9"/>
  <c r="CZ22" i="9"/>
  <c r="CZ23" i="9"/>
  <c r="CZ24" i="9"/>
  <c r="CZ25" i="9"/>
  <c r="CZ2" i="9"/>
  <c r="DP3" i="9"/>
  <c r="DP4" i="9"/>
  <c r="DP5" i="9"/>
  <c r="DP6" i="9"/>
  <c r="DP7" i="9"/>
  <c r="DP8" i="9"/>
  <c r="DP9" i="9"/>
  <c r="DP10" i="9"/>
  <c r="DP11" i="9"/>
  <c r="DP12" i="9"/>
  <c r="DP13" i="9"/>
  <c r="DP14" i="9"/>
  <c r="DP15" i="9"/>
  <c r="DP16" i="9"/>
  <c r="DP17" i="9"/>
  <c r="DP18" i="9"/>
  <c r="DP19" i="9"/>
  <c r="DP20" i="9"/>
  <c r="DP21" i="9"/>
  <c r="DP22" i="9"/>
  <c r="DP23" i="9"/>
  <c r="DP24" i="9"/>
  <c r="DP25" i="9"/>
  <c r="DO3" i="9"/>
  <c r="DO4" i="9"/>
  <c r="DO5" i="9"/>
  <c r="DO6" i="9"/>
  <c r="DO7" i="9"/>
  <c r="DO8" i="9"/>
  <c r="DO9" i="9"/>
  <c r="DO10" i="9"/>
  <c r="DO11" i="9"/>
  <c r="DO12" i="9"/>
  <c r="DO13" i="9"/>
  <c r="DO14" i="9"/>
  <c r="DO15" i="9"/>
  <c r="DO16" i="9"/>
  <c r="DO17" i="9"/>
  <c r="DO18" i="9"/>
  <c r="DO19" i="9"/>
  <c r="DO20" i="9"/>
  <c r="DO21" i="9"/>
  <c r="DO22" i="9"/>
  <c r="DO23" i="9"/>
  <c r="DO24" i="9"/>
  <c r="DO25" i="9"/>
  <c r="DN3" i="9"/>
  <c r="DN4" i="9"/>
  <c r="DN5" i="9"/>
  <c r="DN6" i="9"/>
  <c r="DN7" i="9"/>
  <c r="DN8" i="9"/>
  <c r="DN9" i="9"/>
  <c r="DN10" i="9"/>
  <c r="DN11" i="9"/>
  <c r="DN12" i="9"/>
  <c r="DN13" i="9"/>
  <c r="DN14" i="9"/>
  <c r="DN15" i="9"/>
  <c r="DN16" i="9"/>
  <c r="DN17" i="9"/>
  <c r="DN18" i="9"/>
  <c r="DN19" i="9"/>
  <c r="DN20" i="9"/>
  <c r="DN21" i="9"/>
  <c r="DN22" i="9"/>
  <c r="DN23" i="9"/>
  <c r="DN24" i="9"/>
  <c r="DN25" i="9"/>
  <c r="DM3" i="9"/>
  <c r="DM4" i="9"/>
  <c r="DM5" i="9"/>
  <c r="DM6" i="9"/>
  <c r="DM7" i="9"/>
  <c r="DM8" i="9"/>
  <c r="DM9" i="9"/>
  <c r="DM10" i="9"/>
  <c r="DM11" i="9"/>
  <c r="DM12" i="9"/>
  <c r="DM13" i="9"/>
  <c r="DM14" i="9"/>
  <c r="DM15" i="9"/>
  <c r="DM16" i="9"/>
  <c r="DM17" i="9"/>
  <c r="DM18" i="9"/>
  <c r="DM19" i="9"/>
  <c r="DM20" i="9"/>
  <c r="DM21" i="9"/>
  <c r="DM22" i="9"/>
  <c r="DM23" i="9"/>
  <c r="DM24" i="9"/>
  <c r="DM25" i="9"/>
  <c r="DL3" i="9"/>
  <c r="DL4" i="9"/>
  <c r="DL5" i="9"/>
  <c r="DL6" i="9"/>
  <c r="DL7" i="9"/>
  <c r="DL8" i="9"/>
  <c r="DL9" i="9"/>
  <c r="DL10" i="9"/>
  <c r="DL11" i="9"/>
  <c r="DL12" i="9"/>
  <c r="DL13" i="9"/>
  <c r="DL14" i="9"/>
  <c r="DL15" i="9"/>
  <c r="DL16" i="9"/>
  <c r="DL17" i="9"/>
  <c r="DL18" i="9"/>
  <c r="DL19" i="9"/>
  <c r="DL20" i="9"/>
  <c r="DL21" i="9"/>
  <c r="DL22" i="9"/>
  <c r="DL23" i="9"/>
  <c r="DL24" i="9"/>
  <c r="DL25" i="9"/>
  <c r="DK3" i="9"/>
  <c r="DK4" i="9"/>
  <c r="DK5" i="9"/>
  <c r="DK6" i="9"/>
  <c r="DK7" i="9"/>
  <c r="DK8" i="9"/>
  <c r="DK9" i="9"/>
  <c r="DK10" i="9"/>
  <c r="DK11" i="9"/>
  <c r="DK12" i="9"/>
  <c r="DK13" i="9"/>
  <c r="DK14" i="9"/>
  <c r="DK15" i="9"/>
  <c r="DK16" i="9"/>
  <c r="DK17" i="9"/>
  <c r="DK18" i="9"/>
  <c r="DK19" i="9"/>
  <c r="DK20" i="9"/>
  <c r="DK21" i="9"/>
  <c r="DK22" i="9"/>
  <c r="DK23" i="9"/>
  <c r="DK24" i="9"/>
  <c r="DK25" i="9"/>
  <c r="DJ3" i="9"/>
  <c r="DJ4" i="9"/>
  <c r="DJ5" i="9"/>
  <c r="DJ6" i="9"/>
  <c r="DJ7" i="9"/>
  <c r="DJ8" i="9"/>
  <c r="DJ9" i="9"/>
  <c r="DJ10" i="9"/>
  <c r="DJ11" i="9"/>
  <c r="DJ12" i="9"/>
  <c r="DJ13" i="9"/>
  <c r="DJ14" i="9"/>
  <c r="DJ15" i="9"/>
  <c r="DJ16" i="9"/>
  <c r="DJ17" i="9"/>
  <c r="DJ18" i="9"/>
  <c r="DJ19" i="9"/>
  <c r="DJ20" i="9"/>
  <c r="DJ21" i="9"/>
  <c r="DJ22" i="9"/>
  <c r="DJ23" i="9"/>
  <c r="DJ24" i="9"/>
  <c r="DJ25" i="9"/>
  <c r="DH3" i="9"/>
  <c r="DH4" i="9"/>
  <c r="DH5" i="9"/>
  <c r="DH6" i="9"/>
  <c r="DH7" i="9"/>
  <c r="DH8" i="9"/>
  <c r="DH9" i="9"/>
  <c r="DH10" i="9"/>
  <c r="DH11" i="9"/>
  <c r="DH12" i="9"/>
  <c r="DH13" i="9"/>
  <c r="DH14" i="9"/>
  <c r="DH15" i="9"/>
  <c r="DH16" i="9"/>
  <c r="DH17" i="9"/>
  <c r="DH18" i="9"/>
  <c r="DH19" i="9"/>
  <c r="DH20" i="9"/>
  <c r="DH21" i="9"/>
  <c r="DH22" i="9"/>
  <c r="DH23" i="9"/>
  <c r="DH24" i="9"/>
  <c r="DH25" i="9"/>
  <c r="DG3" i="9"/>
  <c r="DG4" i="9"/>
  <c r="DG5" i="9"/>
  <c r="DG6" i="9"/>
  <c r="DG7" i="9"/>
  <c r="DG8" i="9"/>
  <c r="DG9" i="9"/>
  <c r="DG10" i="9"/>
  <c r="DG11" i="9"/>
  <c r="DG12" i="9"/>
  <c r="DG13" i="9"/>
  <c r="DG14" i="9"/>
  <c r="DG15" i="9"/>
  <c r="DG16" i="9"/>
  <c r="DG17" i="9"/>
  <c r="DG18" i="9"/>
  <c r="DG19" i="9"/>
  <c r="DG20" i="9"/>
  <c r="DG21" i="9"/>
  <c r="DG22" i="9"/>
  <c r="DG23" i="9"/>
  <c r="DG24" i="9"/>
  <c r="DG25" i="9"/>
  <c r="DF3" i="9"/>
  <c r="DF4" i="9"/>
  <c r="DF5" i="9"/>
  <c r="DF6" i="9"/>
  <c r="DF7" i="9"/>
  <c r="DF8" i="9"/>
  <c r="DF9" i="9"/>
  <c r="DF10" i="9"/>
  <c r="DF11" i="9"/>
  <c r="DF12" i="9"/>
  <c r="DF13" i="9"/>
  <c r="DF14" i="9"/>
  <c r="DF15" i="9"/>
  <c r="DF16" i="9"/>
  <c r="DF17" i="9"/>
  <c r="DF18" i="9"/>
  <c r="DF19" i="9"/>
  <c r="DF20" i="9"/>
  <c r="DF21" i="9"/>
  <c r="DF22" i="9"/>
  <c r="DF23" i="9"/>
  <c r="DF24" i="9"/>
  <c r="DF25" i="9"/>
  <c r="DE3" i="9"/>
  <c r="DE4" i="9"/>
  <c r="DE5" i="9"/>
  <c r="DE6" i="9"/>
  <c r="DE7" i="9"/>
  <c r="DE8" i="9"/>
  <c r="DE9" i="9"/>
  <c r="DE10" i="9"/>
  <c r="DE11" i="9"/>
  <c r="DE12" i="9"/>
  <c r="DE13" i="9"/>
  <c r="DE14" i="9"/>
  <c r="DE15" i="9"/>
  <c r="DE16" i="9"/>
  <c r="DE17" i="9"/>
  <c r="DE18" i="9"/>
  <c r="DE19" i="9"/>
  <c r="DE20" i="9"/>
  <c r="DE21" i="9"/>
  <c r="DE22" i="9"/>
  <c r="DE23" i="9"/>
  <c r="DE24" i="9"/>
  <c r="DE25" i="9"/>
  <c r="DD3" i="9"/>
  <c r="DD4" i="9"/>
  <c r="DD5" i="9"/>
  <c r="DD6" i="9"/>
  <c r="DD7" i="9"/>
  <c r="DD8" i="9"/>
  <c r="DD9" i="9"/>
  <c r="DD10" i="9"/>
  <c r="DD11" i="9"/>
  <c r="DD12" i="9"/>
  <c r="DD13" i="9"/>
  <c r="DD14" i="9"/>
  <c r="DD15" i="9"/>
  <c r="DD16" i="9"/>
  <c r="DD17" i="9"/>
  <c r="DD18" i="9"/>
  <c r="DD19" i="9"/>
  <c r="DD20" i="9"/>
  <c r="DD21" i="9"/>
  <c r="DD22" i="9"/>
  <c r="DD23" i="9"/>
  <c r="DD24" i="9"/>
  <c r="DD25" i="9"/>
  <c r="DC3" i="9"/>
  <c r="DC4" i="9"/>
  <c r="DC5" i="9"/>
  <c r="DC6" i="9"/>
  <c r="DC7" i="9"/>
  <c r="DC8" i="9"/>
  <c r="DC9" i="9"/>
  <c r="DC10" i="9"/>
  <c r="DC11" i="9"/>
  <c r="DC12" i="9"/>
  <c r="DC13" i="9"/>
  <c r="DC14" i="9"/>
  <c r="DC15" i="9"/>
  <c r="DC16" i="9"/>
  <c r="DC17" i="9"/>
  <c r="DC18" i="9"/>
  <c r="DC19" i="9"/>
  <c r="DC20" i="9"/>
  <c r="DC21" i="9"/>
  <c r="DC22" i="9"/>
  <c r="DC23" i="9"/>
  <c r="DC24" i="9"/>
  <c r="DC25" i="9"/>
  <c r="DB3" i="9"/>
  <c r="DB4" i="9"/>
  <c r="DB5" i="9"/>
  <c r="DB6" i="9"/>
  <c r="DB7" i="9"/>
  <c r="DB8" i="9"/>
  <c r="DB9" i="9"/>
  <c r="DB10" i="9"/>
  <c r="DB11" i="9"/>
  <c r="DB12" i="9"/>
  <c r="DB13" i="9"/>
  <c r="DB14" i="9"/>
  <c r="DB15" i="9"/>
  <c r="DB16" i="9"/>
  <c r="DB17" i="9"/>
  <c r="DB18" i="9"/>
  <c r="DB19" i="9"/>
  <c r="DB20" i="9"/>
  <c r="DB21" i="9"/>
  <c r="DB22" i="9"/>
  <c r="DB23" i="9"/>
  <c r="DB24" i="9"/>
  <c r="DB25" i="9"/>
  <c r="DA3" i="9"/>
  <c r="DA4" i="9"/>
  <c r="DA5" i="9"/>
  <c r="DA6" i="9"/>
  <c r="DA7" i="9"/>
  <c r="DA8" i="9"/>
  <c r="DA9" i="9"/>
  <c r="DA10" i="9"/>
  <c r="DA11" i="9"/>
  <c r="DA12" i="9"/>
  <c r="DA13" i="9"/>
  <c r="DA14" i="9"/>
  <c r="DA15" i="9"/>
  <c r="DA16" i="9"/>
  <c r="DA17" i="9"/>
  <c r="DA18" i="9"/>
  <c r="DA19" i="9"/>
  <c r="DA20" i="9"/>
  <c r="DA21" i="9"/>
  <c r="DA22" i="9"/>
  <c r="DA23" i="9"/>
  <c r="DA24" i="9"/>
  <c r="DA25" i="9"/>
  <c r="DA2" i="9"/>
  <c r="DB2" i="9"/>
  <c r="DC2" i="9"/>
  <c r="DD2" i="9"/>
  <c r="DE2" i="9"/>
  <c r="DF2" i="9"/>
  <c r="DG2" i="9"/>
  <c r="DH2" i="9"/>
  <c r="DJ2" i="9"/>
  <c r="DK2" i="9"/>
  <c r="DL2" i="9"/>
  <c r="DM2" i="9"/>
  <c r="DN2" i="9"/>
  <c r="DO2" i="9"/>
  <c r="DP2" i="9"/>
  <c r="BF3" i="9"/>
  <c r="BF4" i="9"/>
  <c r="BF5" i="9"/>
  <c r="BF6" i="9"/>
  <c r="BF7" i="9"/>
  <c r="BF8" i="9"/>
  <c r="BF9" i="9"/>
  <c r="BF10" i="9"/>
  <c r="BF11" i="9"/>
  <c r="BF12" i="9"/>
  <c r="BF13" i="9"/>
  <c r="BF14" i="9"/>
  <c r="BF15" i="9"/>
  <c r="BF16" i="9"/>
  <c r="BF17" i="9"/>
  <c r="BF18" i="9"/>
  <c r="BF19" i="9"/>
  <c r="BF20" i="9"/>
  <c r="BF21" i="9"/>
  <c r="BF22" i="9"/>
  <c r="BF23" i="9"/>
  <c r="BF24" i="9"/>
  <c r="BF25" i="9"/>
  <c r="BE3" i="9"/>
  <c r="BE4" i="9"/>
  <c r="BE5" i="9"/>
  <c r="BE6" i="9"/>
  <c r="BE7" i="9"/>
  <c r="BE8" i="9"/>
  <c r="BE9" i="9"/>
  <c r="BE10" i="9"/>
  <c r="BE11" i="9"/>
  <c r="BE12" i="9"/>
  <c r="BE13" i="9"/>
  <c r="BE14" i="9"/>
  <c r="BE15" i="9"/>
  <c r="BE16" i="9"/>
  <c r="BE17" i="9"/>
  <c r="BE18" i="9"/>
  <c r="BE19" i="9"/>
  <c r="BE20" i="9"/>
  <c r="BE21" i="9"/>
  <c r="BE22" i="9"/>
  <c r="BE23" i="9"/>
  <c r="BE24" i="9"/>
  <c r="BE25" i="9"/>
  <c r="BD3" i="9"/>
  <c r="BD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C3" i="9"/>
  <c r="BC4" i="9"/>
  <c r="BC5" i="9"/>
  <c r="BC6" i="9"/>
  <c r="BC7" i="9"/>
  <c r="BC8" i="9"/>
  <c r="BC9" i="9"/>
  <c r="BC10" i="9"/>
  <c r="BC11" i="9"/>
  <c r="BC12" i="9"/>
  <c r="BC13" i="9"/>
  <c r="BC14" i="9"/>
  <c r="BC15" i="9"/>
  <c r="BC16" i="9"/>
  <c r="BC17" i="9"/>
  <c r="BC18" i="9"/>
  <c r="BC19" i="9"/>
  <c r="BC20" i="9"/>
  <c r="BC21" i="9"/>
  <c r="BC22" i="9"/>
  <c r="BC23" i="9"/>
  <c r="BC24" i="9"/>
  <c r="BC25" i="9"/>
  <c r="BB3" i="9"/>
  <c r="BB4" i="9"/>
  <c r="BB5" i="9"/>
  <c r="BB6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F2" i="9"/>
  <c r="BE2" i="9"/>
  <c r="BD2" i="9"/>
  <c r="BC2" i="9"/>
  <c r="BB2" i="9"/>
  <c r="BA3" i="9"/>
  <c r="BA4" i="9"/>
  <c r="BA5" i="9"/>
  <c r="BA6" i="9"/>
  <c r="BA7" i="9"/>
  <c r="BA8" i="9"/>
  <c r="BA9" i="9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AZ3" i="9"/>
  <c r="AZ4" i="9"/>
  <c r="AZ5" i="9"/>
  <c r="AZ6" i="9"/>
  <c r="AZ7" i="9"/>
  <c r="AZ8" i="9"/>
  <c r="AZ9" i="9"/>
  <c r="AZ10" i="9"/>
  <c r="AZ11" i="9"/>
  <c r="AZ12" i="9"/>
  <c r="AZ13" i="9"/>
  <c r="AZ14" i="9"/>
  <c r="AZ15" i="9"/>
  <c r="AZ16" i="9"/>
  <c r="AZ17" i="9"/>
  <c r="AZ18" i="9"/>
  <c r="AZ19" i="9"/>
  <c r="AZ20" i="9"/>
  <c r="AZ21" i="9"/>
  <c r="AZ22" i="9"/>
  <c r="AZ23" i="9"/>
  <c r="AZ24" i="9"/>
  <c r="AZ25" i="9"/>
  <c r="AY3" i="9"/>
  <c r="AY4" i="9"/>
  <c r="AY5" i="9"/>
  <c r="AY6" i="9"/>
  <c r="AY7" i="9"/>
  <c r="AY8" i="9"/>
  <c r="AY9" i="9"/>
  <c r="AY10" i="9"/>
  <c r="AY11" i="9"/>
  <c r="AY12" i="9"/>
  <c r="AY13" i="9"/>
  <c r="AY14" i="9"/>
  <c r="AY15" i="9"/>
  <c r="AY16" i="9"/>
  <c r="AY17" i="9"/>
  <c r="AY18" i="9"/>
  <c r="AY19" i="9"/>
  <c r="AY20" i="9"/>
  <c r="AY21" i="9"/>
  <c r="AY22" i="9"/>
  <c r="AY23" i="9"/>
  <c r="AY24" i="9"/>
  <c r="AY25" i="9"/>
  <c r="BA2" i="9"/>
  <c r="AZ2" i="9"/>
  <c r="AY2" i="9"/>
  <c r="AU3" i="9"/>
  <c r="AU4" i="9"/>
  <c r="AU5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4" i="9"/>
  <c r="AU25" i="9"/>
  <c r="AT3" i="9"/>
  <c r="AT4" i="9"/>
  <c r="AT5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19" i="9"/>
  <c r="AT20" i="9"/>
  <c r="AT21" i="9"/>
  <c r="AT22" i="9"/>
  <c r="AT23" i="9"/>
  <c r="AT24" i="9"/>
  <c r="AT25" i="9"/>
  <c r="AS3" i="9"/>
  <c r="AS4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R3" i="9"/>
  <c r="AR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Q3" i="9"/>
  <c r="AQ4" i="9"/>
  <c r="AQ5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P3" i="9"/>
  <c r="AP4" i="9"/>
  <c r="AP5" i="9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O3" i="9"/>
  <c r="AO4" i="9"/>
  <c r="AO5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L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K3" i="9"/>
  <c r="AK4" i="9"/>
  <c r="AK5" i="9"/>
  <c r="AK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I3" i="9"/>
  <c r="AI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G3" i="9"/>
  <c r="AG4" i="9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E3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AV3" i="9"/>
  <c r="AV4" i="9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W3" i="9"/>
  <c r="AW4" i="9"/>
  <c r="AW5" i="9"/>
  <c r="AW6" i="9"/>
  <c r="AW7" i="9"/>
  <c r="AW8" i="9"/>
  <c r="AW9" i="9"/>
  <c r="AW10" i="9"/>
  <c r="AW11" i="9"/>
  <c r="AW12" i="9"/>
  <c r="AW13" i="9"/>
  <c r="AW14" i="9"/>
  <c r="AW15" i="9"/>
  <c r="AW16" i="9"/>
  <c r="AW17" i="9"/>
  <c r="AW18" i="9"/>
  <c r="AW19" i="9"/>
  <c r="AW20" i="9"/>
  <c r="AW21" i="9"/>
  <c r="AW22" i="9"/>
  <c r="AW23" i="9"/>
  <c r="AW24" i="9"/>
  <c r="AW25" i="9"/>
  <c r="AX3" i="9"/>
  <c r="AX4" i="9"/>
  <c r="AX5" i="9"/>
  <c r="AX6" i="9"/>
  <c r="AX7" i="9"/>
  <c r="AX8" i="9"/>
  <c r="AX9" i="9"/>
  <c r="AX10" i="9"/>
  <c r="AX11" i="9"/>
  <c r="AX12" i="9"/>
  <c r="AX13" i="9"/>
  <c r="AX14" i="9"/>
  <c r="AX15" i="9"/>
  <c r="AX16" i="9"/>
  <c r="AX17" i="9"/>
  <c r="AX18" i="9"/>
  <c r="AX19" i="9"/>
  <c r="AX20" i="9"/>
  <c r="AX21" i="9"/>
  <c r="AX22" i="9"/>
  <c r="AX23" i="9"/>
  <c r="AX24" i="9"/>
  <c r="AX25" i="9"/>
  <c r="AX2" i="9"/>
  <c r="AW2" i="9"/>
  <c r="AV2" i="9"/>
  <c r="AU2" i="9"/>
  <c r="AT2" i="9"/>
  <c r="AS2" i="9"/>
  <c r="AR2" i="9"/>
  <c r="AQ2" i="9"/>
  <c r="AP2" i="9"/>
  <c r="AO2" i="9"/>
  <c r="AL2" i="9"/>
  <c r="AK2" i="9"/>
  <c r="AJ2" i="9"/>
  <c r="AI2" i="9"/>
  <c r="AH2" i="9"/>
  <c r="AG2" i="9"/>
  <c r="AE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" i="9"/>
  <c r="AC3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E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" i="9"/>
  <c r="G2" i="12" l="1"/>
  <c r="F2" i="12"/>
  <c r="H2" i="12"/>
</calcChain>
</file>

<file path=xl/sharedStrings.xml><?xml version="1.0" encoding="utf-8"?>
<sst xmlns="http://schemas.openxmlformats.org/spreadsheetml/2006/main" count="240" uniqueCount="200">
  <si>
    <t>Bus</t>
  </si>
  <si>
    <t>No.</t>
  </si>
  <si>
    <t>Capacity (MW)</t>
  </si>
  <si>
    <t>Time</t>
  </si>
  <si>
    <t>WF1 (MW)</t>
  </si>
  <si>
    <t>WF 2 (MW)</t>
  </si>
  <si>
    <t>Total Load (MW)</t>
    <phoneticPr fontId="2" type="noConversion"/>
  </si>
  <si>
    <t>WF 3 (MW)</t>
  </si>
  <si>
    <t>WF 4 (MW)</t>
  </si>
  <si>
    <t>WF 5 (MW)</t>
  </si>
  <si>
    <t>WF 6 (MW)</t>
  </si>
  <si>
    <t>WF 7 (MW)</t>
  </si>
  <si>
    <t>WF 8 (MW)</t>
  </si>
  <si>
    <t>WF 9 (MW)</t>
  </si>
  <si>
    <t>WF 10 (MW)</t>
  </si>
  <si>
    <t>Virtual Inertia control cost ($/(MWs))</t>
    <phoneticPr fontId="2" type="noConversion"/>
  </si>
  <si>
    <t>EFR Cost ($/MWh)</t>
    <phoneticPr fontId="2" type="noConversion"/>
  </si>
  <si>
    <t>Inertia of WF1 (MWs)</t>
    <phoneticPr fontId="2" type="noConversion"/>
  </si>
  <si>
    <t>Inertia of WF2 (MWs)</t>
    <phoneticPr fontId="2" type="noConversion"/>
  </si>
  <si>
    <t>Inertia of WF3 (MWs)</t>
    <phoneticPr fontId="2" type="noConversion"/>
  </si>
  <si>
    <t>Inertia of WF4 (MWs)</t>
    <phoneticPr fontId="2" type="noConversion"/>
  </si>
  <si>
    <t>Inertia of WF5 (MWs)</t>
    <phoneticPr fontId="2" type="noConversion"/>
  </si>
  <si>
    <t>Inertia of WF6 (MWs)</t>
    <phoneticPr fontId="2" type="noConversion"/>
  </si>
  <si>
    <t>Inertia of WF7 (MWs)</t>
    <phoneticPr fontId="2" type="noConversion"/>
  </si>
  <si>
    <t>Inertia of WF8 (MWs)</t>
    <phoneticPr fontId="2" type="noConversion"/>
  </si>
  <si>
    <t>Inertia of WF9 (MWs)</t>
    <phoneticPr fontId="2" type="noConversion"/>
  </si>
  <si>
    <t>Inertia of WF10 (MWs)</t>
    <phoneticPr fontId="2" type="noConversion"/>
  </si>
  <si>
    <t>Load1 (MW)</t>
  </si>
  <si>
    <t>Load2 (MW)</t>
  </si>
  <si>
    <t>Load3 (MW)</t>
  </si>
  <si>
    <t>Total Load (MW)</t>
  </si>
  <si>
    <t>Load4 (MW)</t>
  </si>
  <si>
    <t>Load5 (MW)</t>
  </si>
  <si>
    <t>Load6 (MW)</t>
  </si>
  <si>
    <t>Load7 (MW)</t>
  </si>
  <si>
    <t>Load8 (MW)</t>
  </si>
  <si>
    <t>Load9 (MW)</t>
  </si>
  <si>
    <t>Load10 (MW)</t>
  </si>
  <si>
    <t>Load11 (MW)</t>
  </si>
  <si>
    <t>Load12 (MW)</t>
  </si>
  <si>
    <t>Load13 (MW)</t>
  </si>
  <si>
    <t>Load14 (MW)</t>
  </si>
  <si>
    <t>Load15 (MW)</t>
  </si>
  <si>
    <t>Load16 (MW)</t>
  </si>
  <si>
    <t>Load17 (MW)</t>
  </si>
  <si>
    <t>Load18 (MW)</t>
  </si>
  <si>
    <t>Load19 (MW)</t>
  </si>
  <si>
    <t>Load20 (MW)</t>
  </si>
  <si>
    <t>Load21 (MW)</t>
  </si>
  <si>
    <t>Load22 (MW)</t>
  </si>
  <si>
    <t>Load23 (MW)</t>
  </si>
  <si>
    <t>Load24 (MW)</t>
  </si>
  <si>
    <t>Load25 (MW)</t>
  </si>
  <si>
    <t>Load26 (MW)</t>
  </si>
  <si>
    <t>Load27 (MW)</t>
  </si>
  <si>
    <t>Load28 (MW)</t>
  </si>
  <si>
    <t>Load29 (MW)</t>
  </si>
  <si>
    <t>Load30 (MW)</t>
  </si>
  <si>
    <t>Load31 (MW)</t>
  </si>
  <si>
    <t>Load32 (MW)</t>
  </si>
  <si>
    <t>Load33 (MW)</t>
  </si>
  <si>
    <t>Load34 (MW)</t>
  </si>
  <si>
    <t>Load35 (MW)</t>
  </si>
  <si>
    <t>Load36 (MW)</t>
  </si>
  <si>
    <t>Load37 (MW)</t>
  </si>
  <si>
    <t>Load38 (MW)</t>
  </si>
  <si>
    <t>Load39 (MW)</t>
  </si>
  <si>
    <t>Load40 (MW)</t>
  </si>
  <si>
    <t>Load41 (MW)</t>
  </si>
  <si>
    <t>Load42 (MW)</t>
  </si>
  <si>
    <t>Load43 (MW)</t>
  </si>
  <si>
    <t>Load44 (MW)</t>
  </si>
  <si>
    <t>Load45 (MW)</t>
  </si>
  <si>
    <t>Load46 (MW)</t>
  </si>
  <si>
    <t>Load47 (MW)</t>
  </si>
  <si>
    <t>Load48 (MW)</t>
  </si>
  <si>
    <t>Load49 (MW)</t>
  </si>
  <si>
    <t>Load50 (MW)</t>
  </si>
  <si>
    <t>Load51 (MW)</t>
  </si>
  <si>
    <t>Load52 (MW)</t>
  </si>
  <si>
    <t>Load53 (MW)</t>
  </si>
  <si>
    <t>Load54 (MW)</t>
  </si>
  <si>
    <t>Load55 (MW)</t>
  </si>
  <si>
    <t>Load56 (MW)</t>
  </si>
  <si>
    <t>Load57 (MW)</t>
  </si>
  <si>
    <t>Load58 (MW)</t>
  </si>
  <si>
    <t>Load59 (MW)</t>
  </si>
  <si>
    <t>Load60 (MW)</t>
  </si>
  <si>
    <t>Load61 (MW)</t>
  </si>
  <si>
    <t>Load62 (MW)</t>
  </si>
  <si>
    <t>Load63 (MW)</t>
  </si>
  <si>
    <t>Load64 (MW)</t>
  </si>
  <si>
    <t>Load65 (MW)</t>
  </si>
  <si>
    <t>Load66 (MW)</t>
  </si>
  <si>
    <t>Load67 (MW)</t>
  </si>
  <si>
    <t>Load68 (MW)</t>
  </si>
  <si>
    <t>Load69 (MW)</t>
  </si>
  <si>
    <t>Load70 (MW)</t>
  </si>
  <si>
    <t>Load71 (MW)</t>
  </si>
  <si>
    <t>Load72 (MW)</t>
  </si>
  <si>
    <t>Load73 (MW)</t>
  </si>
  <si>
    <t>Load74 (MW)</t>
  </si>
  <si>
    <t>Load75 (MW)</t>
  </si>
  <si>
    <t>Load76 (MW)</t>
  </si>
  <si>
    <t>Load77 (MW)</t>
  </si>
  <si>
    <t>Load78 (MW)</t>
  </si>
  <si>
    <t>Load79 (MW)</t>
  </si>
  <si>
    <t>Load80 (MW)</t>
  </si>
  <si>
    <t>Load81 (MW)</t>
  </si>
  <si>
    <t>Load82 (MW)</t>
  </si>
  <si>
    <t>Load83 (MW)</t>
  </si>
  <si>
    <t>Load84 (MW)</t>
  </si>
  <si>
    <t>Load85 (MW)</t>
  </si>
  <si>
    <t>Load86 (MW)</t>
  </si>
  <si>
    <t>Load87 (MW)</t>
  </si>
  <si>
    <t>Load88 (MW)</t>
  </si>
  <si>
    <t>Load89 (MW)</t>
  </si>
  <si>
    <t>Load90 (MW)</t>
  </si>
  <si>
    <t>Load91 (MW)</t>
  </si>
  <si>
    <t>Load92 (MW)</t>
  </si>
  <si>
    <t>Load93 (MW)</t>
  </si>
  <si>
    <t>Load94 (MW)</t>
  </si>
  <si>
    <t>Load95 (MW)</t>
  </si>
  <si>
    <t>Load96 (MW)</t>
  </si>
  <si>
    <t>Load97 (MW)</t>
  </si>
  <si>
    <t>Load98 (MW)</t>
  </si>
  <si>
    <t>Load99 (MW)</t>
  </si>
  <si>
    <t>Load100 (MW)</t>
  </si>
  <si>
    <t>Load101 (MW)</t>
  </si>
  <si>
    <t>Load102 (MW)</t>
  </si>
  <si>
    <t>Load103 (MW)</t>
  </si>
  <si>
    <t>Load104 (MW)</t>
  </si>
  <si>
    <t>Load105 (MW)</t>
  </si>
  <si>
    <t>Load106 (MW)</t>
  </si>
  <si>
    <t>Load107 (MW)</t>
  </si>
  <si>
    <t>Load108 (MW)</t>
  </si>
  <si>
    <t>Load109 (MW)</t>
  </si>
  <si>
    <t>Load110 (MW)</t>
  </si>
  <si>
    <t>Load111 (MW)</t>
  </si>
  <si>
    <t>Load112 (MW)</t>
  </si>
  <si>
    <t>Load113 (MW)</t>
  </si>
  <si>
    <t>Load114 (MW)</t>
  </si>
  <si>
    <t>Load115 (MW)</t>
  </si>
  <si>
    <t>Load116 (MW)</t>
  </si>
  <si>
    <t>Load117 (MW)</t>
  </si>
  <si>
    <t>Load118 (MW)</t>
  </si>
  <si>
    <t>Time</t>
    <phoneticPr fontId="2" type="noConversion"/>
  </si>
  <si>
    <t>No</t>
  </si>
  <si>
    <t>Inertia constant (s)</t>
    <phoneticPr fontId="2" type="noConversion"/>
  </si>
  <si>
    <t>Maximum PFR reserve (MW)</t>
  </si>
  <si>
    <t>Generation cost ($/MWh)</t>
  </si>
  <si>
    <t>No-load cost ($)</t>
  </si>
  <si>
    <t>Cost of upward regulation reserve ($/MWh)</t>
    <phoneticPr fontId="2" type="noConversion"/>
  </si>
  <si>
    <t>Cost of downward regulation reserve ($/MWh)</t>
    <phoneticPr fontId="2" type="noConversion"/>
  </si>
  <si>
    <t>PFR reserve cost ($/MWh)</t>
  </si>
  <si>
    <t>Maximum power limit (MW)</t>
    <phoneticPr fontId="2" type="noConversion"/>
  </si>
  <si>
    <t>Min stable generation (MW)</t>
    <phoneticPr fontId="2" type="noConversion"/>
  </si>
  <si>
    <t>Ramp-up limit (MW/h)</t>
    <phoneticPr fontId="2" type="noConversion"/>
  </si>
  <si>
    <t>Ramp-down limit (MW/h)</t>
    <phoneticPr fontId="2" type="noConversion"/>
  </si>
  <si>
    <t>Upward regulation reserve capacity (MW)</t>
  </si>
  <si>
    <t>Downward regulation reserve capacity (MW)</t>
  </si>
  <si>
    <t>Start-up cost ($)</t>
    <phoneticPr fontId="2" type="noConversion"/>
  </si>
  <si>
    <t>Shut-down cost ($)</t>
    <phoneticPr fontId="2" type="noConversion"/>
  </si>
  <si>
    <t>From</t>
  </si>
  <si>
    <t>To</t>
  </si>
  <si>
    <t>R(p.u.)</t>
  </si>
  <si>
    <t>X(p.u.)</t>
  </si>
  <si>
    <t>B(p.u.)</t>
  </si>
  <si>
    <t>Capacity(MW)</t>
  </si>
  <si>
    <t>No. VPP</t>
    <phoneticPr fontId="2" type="noConversion"/>
  </si>
  <si>
    <t>Number of units</t>
    <phoneticPr fontId="2" type="noConversion"/>
  </si>
  <si>
    <t>Cost of upward regulation reserve capacity ($/MWh)</t>
  </si>
  <si>
    <t>Cost of downward regulation reserve capacity ($/MWh)</t>
  </si>
  <si>
    <t>PFR reserve cost ($/MWh)</t>
    <phoneticPr fontId="2" type="noConversion"/>
  </si>
  <si>
    <t>Maximum power
output (MW)</t>
    <phoneticPr fontId="2" type="noConversion"/>
  </si>
  <si>
    <t>EFR reserve cost ($/MWh)</t>
    <phoneticPr fontId="2" type="noConversion"/>
  </si>
  <si>
    <t>Charging/discharging power capacity (MW)</t>
    <phoneticPr fontId="2" type="noConversion"/>
  </si>
  <si>
    <t>Min energy capacity (MWh)</t>
    <phoneticPr fontId="2" type="noConversion"/>
  </si>
  <si>
    <t>Max energy capacity (MWh)</t>
    <phoneticPr fontId="2" type="noConversion"/>
  </si>
  <si>
    <t>Energy coupling
efficiency</t>
    <phoneticPr fontId="2" type="noConversion"/>
  </si>
  <si>
    <t>Initial energy level (MWh)</t>
    <phoneticPr fontId="2" type="noConversion"/>
  </si>
  <si>
    <t>EFR capacity (MW)</t>
    <phoneticPr fontId="2" type="noConversion"/>
  </si>
  <si>
    <t>PV1 (MW)</t>
    <phoneticPr fontId="2" type="noConversion"/>
  </si>
  <si>
    <t>PFR capacity  (MW)</t>
    <phoneticPr fontId="2" type="noConversion"/>
  </si>
  <si>
    <t>Natural dissipation rate</t>
    <phoneticPr fontId="2" type="noConversion"/>
  </si>
  <si>
    <t>PFR  capacity  (MW)</t>
    <phoneticPr fontId="2" type="noConversion"/>
  </si>
  <si>
    <t>No. VPP</t>
  </si>
  <si>
    <t>PV2 (MW)</t>
  </si>
  <si>
    <t>PV3 (MW)</t>
  </si>
  <si>
    <t>PV4 (MW)</t>
  </si>
  <si>
    <t>PV5 (MW)</t>
  </si>
  <si>
    <t>PV6 (MW)</t>
  </si>
  <si>
    <t>PV7 (MW)</t>
  </si>
  <si>
    <t>Environmental disturbance term 1</t>
    <phoneticPr fontId="2" type="noConversion"/>
  </si>
  <si>
    <t>Environmental disturbance term 2</t>
  </si>
  <si>
    <t>Environmental disturbance term 3</t>
  </si>
  <si>
    <t>Environmental disturbance term 4</t>
  </si>
  <si>
    <t>Environmental disturbance term 5</t>
  </si>
  <si>
    <t>Environmental disturbance term 6</t>
  </si>
  <si>
    <t>Environmental disturbance term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</si>
</sst>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_);[Red]\(0.00\)"/>
    <numFmt numFmtId="177" formatCode="0.00_ "/>
    <numFmt numFmtId="178" formatCode="0_);[Red]\(0\)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>
      <alignment wrapText="1"/>
    </xf>
  </cellStyleXfs>
  <cellXfs count="10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176" fontId="0" fillId="0" borderId="0" xfId="0" applyNumberFormat="1"/>
    <xf numFmtId="177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78" fontId="0" fillId="0" borderId="0" xfId="0" applyNumberFormat="1" applyAlignment="1">
      <alignment horizontal="right" wrapText="1"/>
    </xf>
    <xf numFmtId="0" fontId="0" fillId="0" borderId="0" xfId="0" applyFill="1" applyAlignment="1">
      <alignment wrapText="1"/>
    </xf>
  </cellXfs>
  <cellStyles count="2">
    <cellStyle name="常规" xfId="0" builtinId="0" customBuiltin="1"/>
    <cellStyle name="样式 1" xfId="1" xr:uid="{AE2056A5-6832-4194-9C26-C936287813B1}"/>
  </cellStyles>
  <dxfs count="2"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/>
      </border>
    </dxf>
  </dxfs>
  <tableStyles count="1" defaultTableStyle="TableStyleMedium2" defaultPivotStyle="PivotStyleLight16">
    <tableStyle name="表样式 1" pivot="0" count="2" xr9:uid="{6250F61D-552B-4C7F-86B1-034B2E1A6D16}">
      <tableStyleElement type="wholeTable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77C4-6112-40CA-92A4-B8F518D3261C}">
  <dimension ref="A1:V37"/>
  <sheetViews>
    <sheetView topLeftCell="A6" workbookViewId="0">
      <selection activeCell="E42" sqref="E42:N65"/>
    </sheetView>
  </sheetViews>
  <sheetFormatPr defaultRowHeight="14.15" x14ac:dyDescent="0.35"/>
  <cols>
    <col min="3" max="3" width="14" customWidth="1"/>
    <col min="4" max="4" width="21.7109375" customWidth="1"/>
    <col min="5" max="5" width="9.85546875" customWidth="1"/>
    <col min="6" max="6" width="10.28515625" customWidth="1"/>
    <col min="7" max="7" width="10.7109375" customWidth="1"/>
    <col min="8" max="8" width="10.28515625" customWidth="1"/>
    <col min="9" max="9" width="9.85546875" customWidth="1"/>
    <col min="10" max="10" width="10.42578125" customWidth="1"/>
    <col min="11" max="11" width="11.28515625" customWidth="1"/>
    <col min="12" max="12" width="11.640625" customWidth="1"/>
    <col min="13" max="13" width="11.5" customWidth="1"/>
    <col min="14" max="14" width="10.92578125" customWidth="1"/>
    <col min="15" max="15" width="10.85546875" customWidth="1"/>
    <col min="16" max="16" width="10.35546875" customWidth="1"/>
    <col min="17" max="17" width="10.42578125" customWidth="1"/>
    <col min="18" max="18" width="10.85546875" customWidth="1"/>
    <col min="19" max="19" width="10.5703125" customWidth="1"/>
    <col min="20" max="20" width="10.35546875" customWidth="1"/>
    <col min="21" max="21" width="10.7109375" customWidth="1"/>
    <col min="22" max="22" width="12.640625" customWidth="1"/>
  </cols>
  <sheetData>
    <row r="1" spans="1:22" ht="26.6" customHeight="1" x14ac:dyDescent="0.35">
      <c r="A1" s="1" t="s">
        <v>1</v>
      </c>
      <c r="B1" s="1" t="s">
        <v>0</v>
      </c>
      <c r="C1" s="1" t="s">
        <v>2</v>
      </c>
      <c r="D1" s="1" t="s">
        <v>15</v>
      </c>
      <c r="E1" s="1" t="s">
        <v>16</v>
      </c>
    </row>
    <row r="2" spans="1:22" x14ac:dyDescent="0.35">
      <c r="A2" s="1">
        <v>1</v>
      </c>
      <c r="B2" s="1">
        <v>13</v>
      </c>
      <c r="C2" s="1">
        <v>300</v>
      </c>
      <c r="D2" s="1">
        <v>0.08</v>
      </c>
      <c r="E2" s="1">
        <v>8</v>
      </c>
    </row>
    <row r="3" spans="1:22" x14ac:dyDescent="0.35">
      <c r="A3" s="1">
        <v>2</v>
      </c>
      <c r="B3" s="1">
        <v>21</v>
      </c>
      <c r="C3" s="1">
        <v>400</v>
      </c>
      <c r="D3" s="1">
        <v>0.1</v>
      </c>
      <c r="E3" s="1">
        <v>10</v>
      </c>
    </row>
    <row r="4" spans="1:22" x14ac:dyDescent="0.35">
      <c r="A4" s="1">
        <v>3</v>
      </c>
      <c r="B4" s="1">
        <v>67</v>
      </c>
      <c r="C4" s="1">
        <v>500</v>
      </c>
      <c r="D4" s="1">
        <v>0.12</v>
      </c>
      <c r="E4" s="1">
        <v>12</v>
      </c>
    </row>
    <row r="5" spans="1:22" x14ac:dyDescent="0.35">
      <c r="A5" s="1">
        <v>4</v>
      </c>
      <c r="B5" s="1">
        <v>33</v>
      </c>
      <c r="C5" s="1">
        <v>500</v>
      </c>
      <c r="D5" s="1">
        <v>0.12</v>
      </c>
      <c r="E5">
        <v>12</v>
      </c>
    </row>
    <row r="6" spans="1:22" x14ac:dyDescent="0.35">
      <c r="A6" s="1">
        <v>5</v>
      </c>
      <c r="B6" s="1">
        <v>43</v>
      </c>
      <c r="C6" s="1">
        <v>300</v>
      </c>
      <c r="D6" s="1">
        <v>0.08</v>
      </c>
      <c r="E6">
        <v>8</v>
      </c>
    </row>
    <row r="7" spans="1:22" x14ac:dyDescent="0.35">
      <c r="A7" s="1">
        <v>6</v>
      </c>
      <c r="B7" s="1">
        <v>52</v>
      </c>
      <c r="C7" s="1">
        <v>400</v>
      </c>
      <c r="D7" s="1">
        <v>0.1</v>
      </c>
      <c r="E7">
        <v>10</v>
      </c>
    </row>
    <row r="8" spans="1:22" x14ac:dyDescent="0.35">
      <c r="A8" s="1">
        <v>7</v>
      </c>
      <c r="B8" s="1">
        <v>71</v>
      </c>
      <c r="C8" s="1">
        <v>300</v>
      </c>
      <c r="D8" s="1">
        <v>0.08</v>
      </c>
      <c r="E8">
        <v>8</v>
      </c>
    </row>
    <row r="9" spans="1:22" x14ac:dyDescent="0.35">
      <c r="A9" s="1">
        <v>8</v>
      </c>
      <c r="B9" s="1">
        <v>82</v>
      </c>
      <c r="C9" s="1">
        <v>400</v>
      </c>
      <c r="D9" s="1">
        <v>0.1</v>
      </c>
      <c r="E9">
        <v>10</v>
      </c>
    </row>
    <row r="10" spans="1:22" x14ac:dyDescent="0.35">
      <c r="A10" s="1">
        <v>9</v>
      </c>
      <c r="B10" s="1">
        <v>95</v>
      </c>
      <c r="C10" s="1">
        <v>500</v>
      </c>
      <c r="D10" s="1">
        <v>0.12</v>
      </c>
      <c r="E10">
        <v>12</v>
      </c>
    </row>
    <row r="11" spans="1:22" x14ac:dyDescent="0.35">
      <c r="A11" s="1">
        <v>10</v>
      </c>
      <c r="B11" s="1">
        <v>108</v>
      </c>
      <c r="C11" s="1">
        <v>500</v>
      </c>
      <c r="D11" s="1">
        <v>0.12</v>
      </c>
      <c r="E11">
        <v>12</v>
      </c>
    </row>
    <row r="13" spans="1:22" s="1" customFormat="1" ht="29.6" customHeight="1" x14ac:dyDescent="0.35">
      <c r="A13" s="1" t="s">
        <v>3</v>
      </c>
      <c r="B13" s="1" t="s">
        <v>6</v>
      </c>
      <c r="C13" s="1" t="s">
        <v>4</v>
      </c>
      <c r="D13" s="1" t="s">
        <v>5</v>
      </c>
      <c r="E13" s="1" t="s">
        <v>7</v>
      </c>
      <c r="F13" s="1" t="s">
        <v>8</v>
      </c>
      <c r="G13" s="1" t="s">
        <v>9</v>
      </c>
      <c r="H13" s="1" t="s">
        <v>10</v>
      </c>
      <c r="I13" s="1" t="s">
        <v>11</v>
      </c>
      <c r="J13" s="1" t="s">
        <v>12</v>
      </c>
      <c r="K13" s="1" t="s">
        <v>13</v>
      </c>
      <c r="L13" s="1" t="s">
        <v>14</v>
      </c>
      <c r="M13" s="1" t="s">
        <v>17</v>
      </c>
      <c r="N13" s="1" t="s">
        <v>18</v>
      </c>
      <c r="O13" s="1" t="s">
        <v>19</v>
      </c>
      <c r="P13" s="1" t="s">
        <v>20</v>
      </c>
      <c r="Q13" s="1" t="s">
        <v>21</v>
      </c>
      <c r="R13" s="1" t="s">
        <v>22</v>
      </c>
      <c r="S13" s="1" t="s">
        <v>23</v>
      </c>
      <c r="T13" s="1" t="s">
        <v>24</v>
      </c>
      <c r="U13" s="1" t="s">
        <v>25</v>
      </c>
      <c r="V13" s="1" t="s">
        <v>26</v>
      </c>
    </row>
    <row r="14" spans="1:22" s="1" customFormat="1" x14ac:dyDescent="0.35">
      <c r="A14" s="1">
        <v>1</v>
      </c>
      <c r="B14" s="1">
        <v>4578</v>
      </c>
      <c r="C14" s="2">
        <v>110.544956941284</v>
      </c>
      <c r="D14" s="2">
        <v>198.948930359581</v>
      </c>
      <c r="E14" s="2">
        <v>106.346967683204</v>
      </c>
      <c r="F14" s="2">
        <v>94.864069868001806</v>
      </c>
      <c r="G14" s="2">
        <v>43.315598725534798</v>
      </c>
      <c r="H14" s="2">
        <v>126.20011379153399</v>
      </c>
      <c r="I14" s="2">
        <v>70.439181793354606</v>
      </c>
      <c r="J14" s="2">
        <v>52.5816624487938</v>
      </c>
      <c r="K14" s="2">
        <v>70.304000000000002</v>
      </c>
      <c r="L14" s="2">
        <v>59.659535730541698</v>
      </c>
      <c r="M14" s="2">
        <v>562.585268334435</v>
      </c>
      <c r="N14" s="2">
        <v>935.34926062027489</v>
      </c>
      <c r="O14" s="2">
        <v>616.77752975004</v>
      </c>
      <c r="P14" s="2">
        <v>563.59031840770501</v>
      </c>
      <c r="Q14" s="2">
        <v>271.04126792737651</v>
      </c>
      <c r="R14" s="2">
        <v>667.84168420382002</v>
      </c>
      <c r="S14" s="2">
        <v>399.710798515948</v>
      </c>
      <c r="T14" s="2">
        <v>334.21804598171451</v>
      </c>
      <c r="U14" s="2">
        <v>441.923383285336</v>
      </c>
      <c r="V14" s="2">
        <v>384.871798967762</v>
      </c>
    </row>
    <row r="15" spans="1:22" s="1" customFormat="1" x14ac:dyDescent="0.35">
      <c r="A15" s="1">
        <v>2</v>
      </c>
      <c r="B15" s="1">
        <v>4382</v>
      </c>
      <c r="C15" s="2">
        <v>98.552700000000002</v>
      </c>
      <c r="D15" s="2">
        <v>214.39847355484801</v>
      </c>
      <c r="E15" s="2">
        <v>89.629685252617193</v>
      </c>
      <c r="F15" s="2">
        <v>90.365356167501105</v>
      </c>
      <c r="G15" s="2">
        <v>37.154910150204799</v>
      </c>
      <c r="H15" s="2">
        <v>105.9959717797</v>
      </c>
      <c r="I15" s="2">
        <v>62.339508420573502</v>
      </c>
      <c r="J15" s="2">
        <v>51.868968957669601</v>
      </c>
      <c r="K15" s="2">
        <v>72.5106934456076</v>
      </c>
      <c r="L15" s="2">
        <v>61.638603322712797</v>
      </c>
      <c r="M15" s="2">
        <v>516.33201136774505</v>
      </c>
      <c r="N15" s="2">
        <v>987.59934044209001</v>
      </c>
      <c r="O15" s="2">
        <v>538.63867987638002</v>
      </c>
      <c r="P15" s="2">
        <v>542.17429815475998</v>
      </c>
      <c r="Q15" s="2">
        <v>238.36810882351801</v>
      </c>
      <c r="R15" s="2">
        <v>584.99068367509005</v>
      </c>
      <c r="S15" s="2">
        <v>363.36425726074003</v>
      </c>
      <c r="T15" s="2">
        <v>330.405936573666</v>
      </c>
      <c r="U15" s="2">
        <v>453.37922002995504</v>
      </c>
      <c r="V15" s="2">
        <v>395.7207039643215</v>
      </c>
    </row>
    <row r="16" spans="1:22" s="1" customFormat="1" x14ac:dyDescent="0.35">
      <c r="A16" s="1">
        <v>3</v>
      </c>
      <c r="B16" s="1">
        <v>4251</v>
      </c>
      <c r="C16" s="2">
        <v>97.567180336822901</v>
      </c>
      <c r="D16" s="2">
        <v>216.230929267183</v>
      </c>
      <c r="E16" s="2">
        <v>102.6895</v>
      </c>
      <c r="F16" s="2">
        <v>101.091248748293</v>
      </c>
      <c r="G16" s="2">
        <v>32.386435002275803</v>
      </c>
      <c r="H16" s="2">
        <v>78.355735093308994</v>
      </c>
      <c r="I16" s="2">
        <v>50.754887437414702</v>
      </c>
      <c r="J16" s="2">
        <v>52.105813199817902</v>
      </c>
      <c r="K16" s="2">
        <v>80.426318388711906</v>
      </c>
      <c r="L16" s="2">
        <v>58.547896222121103</v>
      </c>
      <c r="M16" s="2">
        <v>512.44981579355499</v>
      </c>
      <c r="N16" s="2">
        <v>993.71201019040495</v>
      </c>
      <c r="O16" s="2">
        <v>600.05439247762001</v>
      </c>
      <c r="P16" s="2">
        <v>592.68450696546995</v>
      </c>
      <c r="Q16" s="2">
        <v>211.81990261049052</v>
      </c>
      <c r="R16" s="2">
        <v>462.44827359073798</v>
      </c>
      <c r="S16" s="2">
        <v>308.49545962279353</v>
      </c>
      <c r="T16" s="2">
        <v>331.67471294222753</v>
      </c>
      <c r="U16" s="2">
        <v>493.55232144911849</v>
      </c>
      <c r="V16" s="2">
        <v>378.72541078900247</v>
      </c>
    </row>
    <row r="17" spans="1:22" s="1" customFormat="1" x14ac:dyDescent="0.35">
      <c r="A17" s="1">
        <v>4</v>
      </c>
      <c r="B17" s="1">
        <v>4256</v>
      </c>
      <c r="C17" s="2">
        <v>99.213386299499305</v>
      </c>
      <c r="D17" s="2">
        <v>233.195094401457</v>
      </c>
      <c r="E17" s="2">
        <v>117.83833113336399</v>
      </c>
      <c r="F17" s="2">
        <v>118.27912243969</v>
      </c>
      <c r="G17" s="2">
        <v>39.079359899863498</v>
      </c>
      <c r="H17" s="2">
        <v>59.550800000000002</v>
      </c>
      <c r="I17" s="2">
        <v>46.436284751934501</v>
      </c>
      <c r="J17" s="2">
        <v>45.308728083750601</v>
      </c>
      <c r="K17" s="2">
        <v>98.725100819299001</v>
      </c>
      <c r="L17" s="2">
        <v>68.142537323623202</v>
      </c>
      <c r="M17" s="2">
        <v>518.92736712849501</v>
      </c>
      <c r="N17" s="2">
        <v>1049.50637874414</v>
      </c>
      <c r="O17" s="2">
        <v>668.11745279570005</v>
      </c>
      <c r="P17" s="2">
        <v>670.05264985746498</v>
      </c>
      <c r="Q17" s="2">
        <v>248.75603470667099</v>
      </c>
      <c r="R17" s="2">
        <v>370.63395086527248</v>
      </c>
      <c r="S17" s="2">
        <v>286.99490244779253</v>
      </c>
      <c r="T17" s="2">
        <v>294.44956572792398</v>
      </c>
      <c r="U17" s="2">
        <v>581.70193247678003</v>
      </c>
      <c r="V17" s="2">
        <v>430.58556104728353</v>
      </c>
    </row>
    <row r="18" spans="1:22" s="1" customFormat="1" x14ac:dyDescent="0.35">
      <c r="A18" s="1">
        <v>5</v>
      </c>
      <c r="B18" s="1">
        <v>4520</v>
      </c>
      <c r="C18" s="2">
        <v>105.2929284934</v>
      </c>
      <c r="D18" s="2">
        <v>228.079481474738</v>
      </c>
      <c r="E18" s="2">
        <v>131.54518365953601</v>
      </c>
      <c r="F18" s="2">
        <v>133.92819116977699</v>
      </c>
      <c r="G18" s="2">
        <v>48.051317614929403</v>
      </c>
      <c r="H18" s="2">
        <v>51.162744651797901</v>
      </c>
      <c r="I18" s="2">
        <v>50.122216112881198</v>
      </c>
      <c r="J18" s="2">
        <v>44.024463723258997</v>
      </c>
      <c r="K18" s="2">
        <v>123.654641784251</v>
      </c>
      <c r="L18" s="2">
        <v>83.1875</v>
      </c>
      <c r="M18" s="2">
        <v>542.54568258154507</v>
      </c>
      <c r="N18" s="2">
        <v>1032.8282796609599</v>
      </c>
      <c r="O18" s="2">
        <v>727.22104445194998</v>
      </c>
      <c r="P18" s="2">
        <v>737.28238325161999</v>
      </c>
      <c r="Q18" s="2">
        <v>295.11044696469952</v>
      </c>
      <c r="R18" s="2">
        <v>326.61116807270452</v>
      </c>
      <c r="S18" s="2">
        <v>305.38493441398947</v>
      </c>
      <c r="T18" s="2">
        <v>287.212627170112</v>
      </c>
      <c r="U18" s="2">
        <v>693.46287442546497</v>
      </c>
      <c r="V18" s="2">
        <v>507.25163804816998</v>
      </c>
    </row>
    <row r="19" spans="1:22" s="1" customFormat="1" x14ac:dyDescent="0.35">
      <c r="A19" s="1">
        <v>6</v>
      </c>
      <c r="B19" s="1">
        <v>5984</v>
      </c>
      <c r="C19" s="2">
        <v>110.901170277651</v>
      </c>
      <c r="D19" s="2">
        <v>231.909094947656</v>
      </c>
      <c r="E19" s="2">
        <v>148.832961310879</v>
      </c>
      <c r="F19" s="2">
        <v>142.745110605371</v>
      </c>
      <c r="G19" s="2">
        <v>58.5336</v>
      </c>
      <c r="H19" s="2">
        <v>53.060400000000001</v>
      </c>
      <c r="I19" s="2">
        <v>60.416576422394201</v>
      </c>
      <c r="J19" s="2">
        <v>49.3108826581702</v>
      </c>
      <c r="K19" s="2">
        <v>134.88939462904</v>
      </c>
      <c r="L19" s="2">
        <v>100.29837983614</v>
      </c>
      <c r="M19" s="2">
        <v>563.93280132268501</v>
      </c>
      <c r="N19" s="2">
        <v>1045.3252933686199</v>
      </c>
      <c r="O19" s="2">
        <v>798.91485719145498</v>
      </c>
      <c r="P19" s="2">
        <v>774.00175400921</v>
      </c>
      <c r="Q19" s="2">
        <v>345.74589565993301</v>
      </c>
      <c r="R19" s="2">
        <v>336.76908609101753</v>
      </c>
      <c r="S19" s="2">
        <v>354.5088340414365</v>
      </c>
      <c r="T19" s="2">
        <v>316.57656317145751</v>
      </c>
      <c r="U19" s="2">
        <v>741.32377798671496</v>
      </c>
      <c r="V19" s="2">
        <v>589.01401496530002</v>
      </c>
    </row>
    <row r="20" spans="1:22" s="1" customFormat="1" x14ac:dyDescent="0.35">
      <c r="A20" s="1">
        <v>7</v>
      </c>
      <c r="B20" s="1">
        <v>7168</v>
      </c>
      <c r="C20" s="2">
        <v>115.60180282203</v>
      </c>
      <c r="D20" s="2">
        <v>282.71940136549802</v>
      </c>
      <c r="E20" s="2">
        <v>156.68306486117399</v>
      </c>
      <c r="F20" s="2">
        <v>153.51072667273601</v>
      </c>
      <c r="G20" s="2">
        <v>76.118584478834805</v>
      </c>
      <c r="H20" s="2">
        <v>57.754131634046402</v>
      </c>
      <c r="I20" s="2">
        <v>64.3028154756486</v>
      </c>
      <c r="J20" s="2">
        <v>56.493169412835698</v>
      </c>
      <c r="K20" s="2">
        <v>136.33980587164299</v>
      </c>
      <c r="L20" s="2">
        <v>110.933865043241</v>
      </c>
      <c r="M20" s="2">
        <v>581.58223204869</v>
      </c>
      <c r="N20" s="2">
        <v>1205.1583607607199</v>
      </c>
      <c r="O20" s="2">
        <v>830.54394918108994</v>
      </c>
      <c r="P20" s="2">
        <v>817.82728398365998</v>
      </c>
      <c r="Q20" s="2">
        <v>424.367400780857</v>
      </c>
      <c r="R20" s="2">
        <v>361.38835723650197</v>
      </c>
      <c r="S20" s="2">
        <v>372.31216531784253</v>
      </c>
      <c r="T20" s="2">
        <v>354.84216481100549</v>
      </c>
      <c r="U20" s="2">
        <v>747.40393353424008</v>
      </c>
      <c r="V20" s="2">
        <v>637.48185027461</v>
      </c>
    </row>
    <row r="21" spans="1:22" s="1" customFormat="1" x14ac:dyDescent="0.35">
      <c r="A21" s="1">
        <v>8</v>
      </c>
      <c r="B21" s="1">
        <v>7759</v>
      </c>
      <c r="C21" s="2">
        <v>122.708073509331</v>
      </c>
      <c r="D21" s="2">
        <v>289.36266964041903</v>
      </c>
      <c r="E21" s="2">
        <v>168.13001001365501</v>
      </c>
      <c r="F21" s="2">
        <v>171.5</v>
      </c>
      <c r="G21" s="2">
        <v>96.263404642694596</v>
      </c>
      <c r="H21" s="2">
        <v>64.341054710969502</v>
      </c>
      <c r="I21" s="2">
        <v>75.289212562585305</v>
      </c>
      <c r="J21" s="2">
        <v>70.536274738279502</v>
      </c>
      <c r="K21" s="2">
        <v>131.54518365953601</v>
      </c>
      <c r="L21" s="2">
        <v>103.09167774237601</v>
      </c>
      <c r="M21" s="2">
        <v>607.81685685855007</v>
      </c>
      <c r="N21" s="2">
        <v>1225.3171652498302</v>
      </c>
      <c r="O21" s="2">
        <v>875.73507558867493</v>
      </c>
      <c r="P21" s="2">
        <v>888.84191119557011</v>
      </c>
      <c r="Q21" s="2">
        <v>507.29378608623</v>
      </c>
      <c r="R21" s="2">
        <v>394.84185715929453</v>
      </c>
      <c r="S21" s="2">
        <v>420.80601198778049</v>
      </c>
      <c r="T21" s="2">
        <v>425.27707586515049</v>
      </c>
      <c r="U21" s="2">
        <v>727.22104445194998</v>
      </c>
      <c r="V21" s="2">
        <v>601.90288500395002</v>
      </c>
    </row>
    <row r="22" spans="1:22" s="1" customFormat="1" x14ac:dyDescent="0.35">
      <c r="A22" s="1">
        <v>9</v>
      </c>
      <c r="B22" s="1">
        <v>8215</v>
      </c>
      <c r="C22" s="2">
        <v>128.51961766044599</v>
      </c>
      <c r="D22" s="2">
        <v>309.13719745106999</v>
      </c>
      <c r="E22" s="2">
        <v>197.59914974965901</v>
      </c>
      <c r="F22" s="2">
        <v>188.42421916249401</v>
      </c>
      <c r="G22" s="2">
        <v>108.42368356850299</v>
      </c>
      <c r="H22" s="2">
        <v>69.381543013199803</v>
      </c>
      <c r="I22" s="2">
        <v>81.223029722348699</v>
      </c>
      <c r="J22" s="2">
        <v>97.476072462448798</v>
      </c>
      <c r="K22" s="2">
        <v>127.791448566227</v>
      </c>
      <c r="L22" s="2">
        <v>97.555999999999997</v>
      </c>
      <c r="M22" s="2">
        <v>628.896897036685</v>
      </c>
      <c r="N22" s="2">
        <v>1284.430390743355</v>
      </c>
      <c r="O22" s="2">
        <v>987.60801089563495</v>
      </c>
      <c r="P22" s="2">
        <v>953.41390973265004</v>
      </c>
      <c r="Q22" s="2">
        <v>554.53041699233006</v>
      </c>
      <c r="R22" s="2">
        <v>419.6740361084635</v>
      </c>
      <c r="S22" s="2">
        <v>446.00885282594299</v>
      </c>
      <c r="T22" s="2">
        <v>548.49674470963998</v>
      </c>
      <c r="U22" s="2">
        <v>711.24814225698992</v>
      </c>
      <c r="V22" s="2">
        <v>576.24315943321994</v>
      </c>
    </row>
    <row r="23" spans="1:22" s="1" customFormat="1" x14ac:dyDescent="0.35">
      <c r="A23" s="1">
        <v>10</v>
      </c>
      <c r="B23" s="1">
        <v>8243</v>
      </c>
      <c r="C23" s="2">
        <v>184.23750000000001</v>
      </c>
      <c r="D23" s="2">
        <v>299.90218315885301</v>
      </c>
      <c r="E23" s="2">
        <v>267.99809194355998</v>
      </c>
      <c r="F23" s="2">
        <v>218.15777332726401</v>
      </c>
      <c r="G23" s="2">
        <v>89.918479745107007</v>
      </c>
      <c r="H23" s="2">
        <v>74.377512608101995</v>
      </c>
      <c r="I23" s="2">
        <v>91.164445698679998</v>
      </c>
      <c r="J23" s="2">
        <v>132.72644515248101</v>
      </c>
      <c r="K23" s="2">
        <v>159.359825216204</v>
      </c>
      <c r="L23" s="2">
        <v>125.48202093764201</v>
      </c>
      <c r="M23" s="2">
        <v>817.20830993901006</v>
      </c>
      <c r="N23" s="2">
        <v>1256.98551512635</v>
      </c>
      <c r="O23" s="2">
        <v>1234.499175552615</v>
      </c>
      <c r="P23" s="2">
        <v>1062.3665881169049</v>
      </c>
      <c r="Q23" s="2">
        <v>481.86045569136445</v>
      </c>
      <c r="R23" s="2">
        <v>443.69986287806802</v>
      </c>
      <c r="S23" s="2">
        <v>486.90087935143805</v>
      </c>
      <c r="T23" s="2">
        <v>693.63628349633996</v>
      </c>
      <c r="U23" s="2">
        <v>841.20740281019005</v>
      </c>
      <c r="V23" s="2">
        <v>701.34335331297007</v>
      </c>
    </row>
    <row r="24" spans="1:22" s="1" customFormat="1" x14ac:dyDescent="0.35">
      <c r="A24" s="1">
        <v>11</v>
      </c>
      <c r="B24" s="1">
        <v>8130</v>
      </c>
      <c r="C24" s="2">
        <v>199.654352526172</v>
      </c>
      <c r="D24" s="2">
        <v>291.60000000000002</v>
      </c>
      <c r="E24" s="2">
        <v>286.68912152935798</v>
      </c>
      <c r="F24" s="2">
        <v>256</v>
      </c>
      <c r="G24" s="2">
        <v>96.263404642694596</v>
      </c>
      <c r="H24" s="2">
        <v>103.727408101957</v>
      </c>
      <c r="I24" s="2">
        <v>109.480895175239</v>
      </c>
      <c r="J24" s="2">
        <v>142.69958088302201</v>
      </c>
      <c r="K24" s="2">
        <v>178.9555</v>
      </c>
      <c r="L24" s="2">
        <v>141.746896677287</v>
      </c>
      <c r="M24" s="2">
        <v>865.76284978375497</v>
      </c>
      <c r="N24" s="2">
        <v>1232.0714485603751</v>
      </c>
      <c r="O24" s="2">
        <v>1296.23280478379</v>
      </c>
      <c r="P24" s="2">
        <v>1194.114129713495</v>
      </c>
      <c r="Q24" s="2">
        <v>507.29378608623</v>
      </c>
      <c r="R24" s="2">
        <v>575.37226054394</v>
      </c>
      <c r="S24" s="2">
        <v>558.55133982322491</v>
      </c>
      <c r="T24" s="2">
        <v>732.25255681254509</v>
      </c>
      <c r="U24" s="2">
        <v>917.53749973625997</v>
      </c>
      <c r="V24" s="2">
        <v>769.88328857595002</v>
      </c>
    </row>
    <row r="25" spans="1:22" s="1" customFormat="1" x14ac:dyDescent="0.35">
      <c r="A25" s="1">
        <v>12</v>
      </c>
      <c r="B25" s="1">
        <v>7818</v>
      </c>
      <c r="C25" s="2">
        <v>206.59359927173401</v>
      </c>
      <c r="D25" s="2">
        <v>285.65926772872098</v>
      </c>
      <c r="E25" s="2">
        <v>292.29984137460201</v>
      </c>
      <c r="F25" s="2">
        <v>262.70383454710998</v>
      </c>
      <c r="G25" s="2">
        <v>119.681496540737</v>
      </c>
      <c r="H25" s="2">
        <v>107.911515703232</v>
      </c>
      <c r="I25" s="2">
        <v>108.77532767410101</v>
      </c>
      <c r="J25" s="2">
        <v>148.82118798361401</v>
      </c>
      <c r="K25" s="2">
        <v>183.649178652708</v>
      </c>
      <c r="L25" s="2">
        <v>137.80057715065999</v>
      </c>
      <c r="M25" s="2">
        <v>887.20704901071997</v>
      </c>
      <c r="N25" s="2">
        <v>1214.0985617480051</v>
      </c>
      <c r="O25" s="2">
        <v>1314.49976447885</v>
      </c>
      <c r="P25" s="2">
        <v>1216.75485152949</v>
      </c>
      <c r="Q25" s="2">
        <v>596.70711571788502</v>
      </c>
      <c r="R25" s="2">
        <v>593.05902238936994</v>
      </c>
      <c r="S25" s="2">
        <v>555.86927952704002</v>
      </c>
      <c r="T25" s="2">
        <v>755.50960336794003</v>
      </c>
      <c r="U25" s="2">
        <v>935.39863403628999</v>
      </c>
      <c r="V25" s="2">
        <v>753.50576521562004</v>
      </c>
    </row>
    <row r="26" spans="1:22" s="1" customFormat="1" x14ac:dyDescent="0.35">
      <c r="A26" s="1">
        <v>13</v>
      </c>
      <c r="B26" s="1">
        <v>7832</v>
      </c>
      <c r="C26" s="2">
        <v>241.90637232589901</v>
      </c>
      <c r="D26" s="2">
        <v>290.10717014110099</v>
      </c>
      <c r="E26" s="2">
        <v>348.84127833409201</v>
      </c>
      <c r="F26" s="2">
        <v>271.82293604915799</v>
      </c>
      <c r="G26" s="2">
        <v>136.14060068274901</v>
      </c>
      <c r="H26" s="2">
        <v>115.400961128812</v>
      </c>
      <c r="I26" s="2">
        <v>113.778464406008</v>
      </c>
      <c r="J26" s="2">
        <v>148.34419736003599</v>
      </c>
      <c r="K26" s="2">
        <v>185.43024670004601</v>
      </c>
      <c r="L26" s="2">
        <v>138.289809512972</v>
      </c>
      <c r="M26" s="2">
        <v>992.83918453366994</v>
      </c>
      <c r="N26" s="2">
        <v>1227.56666625256</v>
      </c>
      <c r="O26" s="2">
        <v>1492.5330772429099</v>
      </c>
      <c r="P26" s="2">
        <v>1247.24594649152</v>
      </c>
      <c r="Q26" s="2">
        <v>656.06504067808498</v>
      </c>
      <c r="R26" s="2">
        <v>624.15801248318496</v>
      </c>
      <c r="S26" s="2">
        <v>574.76508794995004</v>
      </c>
      <c r="T26" s="2">
        <v>753.70903918203499</v>
      </c>
      <c r="U26" s="2">
        <v>942.13629897753992</v>
      </c>
      <c r="V26" s="2">
        <v>755.54452602804997</v>
      </c>
    </row>
    <row r="27" spans="1:22" s="1" customFormat="1" x14ac:dyDescent="0.35">
      <c r="A27" s="1">
        <v>14</v>
      </c>
      <c r="B27" s="1">
        <v>7956</v>
      </c>
      <c r="C27" s="2">
        <v>231.852898088302</v>
      </c>
      <c r="D27" s="2">
        <v>316.18651033227098</v>
      </c>
      <c r="E27" s="2">
        <v>317.17537847064199</v>
      </c>
      <c r="F27" s="2">
        <v>287.48621779699602</v>
      </c>
      <c r="G27" s="2">
        <v>170.584005416477</v>
      </c>
      <c r="H27" s="2">
        <v>129.21844114701901</v>
      </c>
      <c r="I27" s="2">
        <v>126.5625</v>
      </c>
      <c r="J27" s="2">
        <v>151.22148384160201</v>
      </c>
      <c r="K27" s="2">
        <v>205.14990805644101</v>
      </c>
      <c r="L27" s="2">
        <v>147.295089895312</v>
      </c>
      <c r="M27" s="2">
        <v>963.3227930575149</v>
      </c>
      <c r="N27" s="2">
        <v>1305.1961269805252</v>
      </c>
      <c r="O27" s="2">
        <v>1394.1234295218701</v>
      </c>
      <c r="P27" s="2">
        <v>1298.8351450765601</v>
      </c>
      <c r="Q27" s="2">
        <v>773.06414079683009</v>
      </c>
      <c r="R27" s="2">
        <v>679.82521438494996</v>
      </c>
      <c r="S27" s="2">
        <v>621.83409008753995</v>
      </c>
      <c r="T27" s="2">
        <v>764.54132580930002</v>
      </c>
      <c r="U27" s="2">
        <v>1015.35346223549</v>
      </c>
      <c r="V27" s="2">
        <v>792.65406719510497</v>
      </c>
    </row>
    <row r="28" spans="1:22" s="1" customFormat="1" x14ac:dyDescent="0.35">
      <c r="A28" s="1">
        <v>15</v>
      </c>
      <c r="B28" s="1">
        <v>8303</v>
      </c>
      <c r="C28" s="2">
        <v>190.30522708238499</v>
      </c>
      <c r="D28" s="2">
        <v>352.19570978607197</v>
      </c>
      <c r="E28" s="2">
        <v>296.35199999999998</v>
      </c>
      <c r="F28" s="2">
        <v>297.98329176149298</v>
      </c>
      <c r="G28" s="2">
        <v>159.88695457442</v>
      </c>
      <c r="H28" s="2">
        <v>155.60679999999999</v>
      </c>
      <c r="I28" s="2">
        <v>140.68743741465599</v>
      </c>
      <c r="J28" s="2">
        <v>155.60679999999999</v>
      </c>
      <c r="K28" s="2">
        <v>220.15513632225799</v>
      </c>
      <c r="L28" s="2">
        <v>155.091488393264</v>
      </c>
      <c r="M28" s="2">
        <v>836.47405771311992</v>
      </c>
      <c r="N28" s="2">
        <v>1408.9641149915749</v>
      </c>
      <c r="O28" s="2">
        <v>1327.6198466119999</v>
      </c>
      <c r="P28" s="2">
        <v>1332.88473868048</v>
      </c>
      <c r="Q28" s="2">
        <v>737.65039583536498</v>
      </c>
      <c r="R28" s="2">
        <v>780.91981255335998</v>
      </c>
      <c r="S28" s="2">
        <v>672.03240341661001</v>
      </c>
      <c r="T28" s="2">
        <v>780.91981255335998</v>
      </c>
      <c r="U28" s="2">
        <v>1069.5016488455799</v>
      </c>
      <c r="V28" s="2">
        <v>824.17477851544504</v>
      </c>
    </row>
    <row r="29" spans="1:22" s="1" customFormat="1" x14ac:dyDescent="0.35">
      <c r="A29" s="1">
        <v>16</v>
      </c>
      <c r="B29" s="1">
        <v>8246</v>
      </c>
      <c r="C29" s="2">
        <v>182.24396463359099</v>
      </c>
      <c r="D29" s="2">
        <v>393.57319198907601</v>
      </c>
      <c r="E29" s="2">
        <v>312.09163199817903</v>
      </c>
      <c r="F29" s="2">
        <v>345.22324738279502</v>
      </c>
      <c r="G29" s="2">
        <v>166.81085694128399</v>
      </c>
      <c r="H29" s="2">
        <v>175.057770232135</v>
      </c>
      <c r="I29" s="2">
        <v>154.48785908056399</v>
      </c>
      <c r="J29" s="2">
        <v>127.919047610378</v>
      </c>
      <c r="K29" s="2">
        <v>204.513455848885</v>
      </c>
      <c r="L29" s="2">
        <v>145.26112448793799</v>
      </c>
      <c r="M29" s="2">
        <v>810.83263643320504</v>
      </c>
      <c r="N29" s="2">
        <v>1523.927585295005</v>
      </c>
      <c r="O29" s="2">
        <v>1378.02528744239</v>
      </c>
      <c r="P29" s="2">
        <v>1481.44453054424</v>
      </c>
      <c r="Q29" s="2">
        <v>760.65961192697</v>
      </c>
      <c r="R29" s="2">
        <v>851.79402658704998</v>
      </c>
      <c r="S29" s="2">
        <v>719.47712520775997</v>
      </c>
      <c r="T29" s="2">
        <v>674.67785513117008</v>
      </c>
      <c r="U29" s="2">
        <v>1013.028094764255</v>
      </c>
      <c r="V29" s="2">
        <v>784.34006563041999</v>
      </c>
    </row>
    <row r="30" spans="1:22" s="1" customFormat="1" x14ac:dyDescent="0.35">
      <c r="A30" s="1">
        <v>17</v>
      </c>
      <c r="B30" s="1">
        <v>7944</v>
      </c>
      <c r="C30" s="2">
        <v>197.02735548475201</v>
      </c>
      <c r="D30" s="2">
        <v>400</v>
      </c>
      <c r="E30" s="2">
        <v>353.39925170687297</v>
      </c>
      <c r="F30" s="2">
        <v>372.02816385980901</v>
      </c>
      <c r="G30" s="2">
        <v>187.25497919890799</v>
      </c>
      <c r="H30" s="2">
        <v>189.82079999999999</v>
      </c>
      <c r="I30" s="2">
        <v>192.35701788802899</v>
      </c>
      <c r="J30" s="2">
        <v>140.850365407374</v>
      </c>
      <c r="K30" s="2">
        <v>215.51346563495699</v>
      </c>
      <c r="L30" s="2">
        <v>176.63895289030501</v>
      </c>
      <c r="M30" s="2">
        <v>857.58010925188501</v>
      </c>
      <c r="N30" s="2">
        <v>1541.413963325205</v>
      </c>
      <c r="O30" s="2">
        <v>1506.4479509509001</v>
      </c>
      <c r="P30" s="2">
        <v>1562.70956061227</v>
      </c>
      <c r="Q30" s="2">
        <v>826.81517246543501</v>
      </c>
      <c r="R30" s="2">
        <v>903.84275920991013</v>
      </c>
      <c r="S30" s="2">
        <v>842.9422160567251</v>
      </c>
      <c r="T30" s="2">
        <v>725.16205258125001</v>
      </c>
      <c r="U30" s="2">
        <v>1052.8868922424599</v>
      </c>
      <c r="V30" s="2">
        <v>908.66473560986503</v>
      </c>
    </row>
    <row r="31" spans="1:22" s="1" customFormat="1" x14ac:dyDescent="0.35">
      <c r="A31" s="1">
        <v>18</v>
      </c>
      <c r="B31" s="1">
        <v>7490</v>
      </c>
      <c r="C31" s="2">
        <v>234.78029931725101</v>
      </c>
      <c r="D31" s="2">
        <v>400</v>
      </c>
      <c r="E31" s="2">
        <v>433.91533909877103</v>
      </c>
      <c r="F31" s="2">
        <v>424.53559194356001</v>
      </c>
      <c r="G31" s="2">
        <v>267.98111169777002</v>
      </c>
      <c r="H31" s="2">
        <v>209.56260209376401</v>
      </c>
      <c r="I31" s="2">
        <v>237.732238552572</v>
      </c>
      <c r="J31" s="2">
        <v>188.14097969958999</v>
      </c>
      <c r="K31" s="2">
        <v>196.97841989075999</v>
      </c>
      <c r="L31" s="2">
        <v>200.09510969503901</v>
      </c>
      <c r="M31" s="2">
        <v>971.96073240043006</v>
      </c>
      <c r="N31" s="2">
        <v>1541.413963325205</v>
      </c>
      <c r="O31" s="2">
        <v>1743.2428541480999</v>
      </c>
      <c r="P31" s="2">
        <v>1716.4619907649801</v>
      </c>
      <c r="Q31" s="2">
        <v>1067.5524827197701</v>
      </c>
      <c r="R31" s="2">
        <v>971.38366554790991</v>
      </c>
      <c r="S31" s="2">
        <v>980.63479863310988</v>
      </c>
      <c r="T31" s="2">
        <v>897.99020306790999</v>
      </c>
      <c r="U31" s="2">
        <v>985.31154493621</v>
      </c>
      <c r="V31" s="2">
        <v>996.81795932650505</v>
      </c>
    </row>
    <row r="32" spans="1:22" s="1" customFormat="1" x14ac:dyDescent="0.35">
      <c r="A32" s="1">
        <v>19</v>
      </c>
      <c r="B32" s="1">
        <v>6802</v>
      </c>
      <c r="C32" s="2">
        <v>274.45380901228901</v>
      </c>
      <c r="D32" s="2">
        <v>400</v>
      </c>
      <c r="E32" s="2">
        <v>481.76474829312701</v>
      </c>
      <c r="F32" s="2">
        <v>372.02816385980901</v>
      </c>
      <c r="G32" s="2">
        <v>290.41169631315398</v>
      </c>
      <c r="H32" s="2">
        <v>201.27579499317301</v>
      </c>
      <c r="I32" s="2">
        <v>259.71983418297702</v>
      </c>
      <c r="J32" s="2">
        <v>183.709973054165</v>
      </c>
      <c r="K32" s="2">
        <v>231.01391101502099</v>
      </c>
      <c r="L32" s="2">
        <v>210.9375</v>
      </c>
      <c r="M32" s="2">
        <v>1085.7170828938299</v>
      </c>
      <c r="N32" s="2">
        <v>1541.413963325205</v>
      </c>
      <c r="O32" s="2">
        <v>1876.9797831411001</v>
      </c>
      <c r="P32" s="2">
        <v>1562.70956061227</v>
      </c>
      <c r="Q32" s="2">
        <v>1129.9017141525451</v>
      </c>
      <c r="R32" s="2">
        <v>943.30295667103496</v>
      </c>
      <c r="S32" s="2">
        <v>1044.1545412942901</v>
      </c>
      <c r="T32" s="2">
        <v>882.46816445722004</v>
      </c>
      <c r="U32" s="2">
        <v>1107.9213918814601</v>
      </c>
      <c r="V32" s="2">
        <v>1036.3901501459002</v>
      </c>
    </row>
    <row r="33" spans="1:22" s="1" customFormat="1" x14ac:dyDescent="0.35">
      <c r="A33" s="1">
        <v>20</v>
      </c>
      <c r="B33" s="1">
        <v>6027</v>
      </c>
      <c r="C33" s="2">
        <v>285.025528265817</v>
      </c>
      <c r="D33" s="2">
        <v>400</v>
      </c>
      <c r="E33" s="2">
        <v>431.81913336367802</v>
      </c>
      <c r="F33" s="2">
        <v>295.53859148839302</v>
      </c>
      <c r="G33" s="2">
        <v>239.51522294037301</v>
      </c>
      <c r="H33" s="2">
        <v>213.78996358670901</v>
      </c>
      <c r="I33" s="2">
        <v>261.610990623578</v>
      </c>
      <c r="J33" s="2">
        <v>178.808881929904</v>
      </c>
      <c r="K33" s="2">
        <v>267.23745448338599</v>
      </c>
      <c r="L33" s="2">
        <v>214.855744424215</v>
      </c>
      <c r="M33" s="2">
        <v>1115.081018895175</v>
      </c>
      <c r="N33" s="2">
        <v>1541.413963325205</v>
      </c>
      <c r="O33" s="2">
        <v>1737.2746919588501</v>
      </c>
      <c r="P33" s="2">
        <v>1324.9910132667351</v>
      </c>
      <c r="Q33" s="2">
        <v>985.85657927980503</v>
      </c>
      <c r="R33" s="2">
        <v>985.56563739423007</v>
      </c>
      <c r="S33" s="2">
        <v>1049.53239010477</v>
      </c>
      <c r="T33" s="2">
        <v>865.15326873044489</v>
      </c>
      <c r="U33" s="2">
        <v>1231.957046742785</v>
      </c>
      <c r="V33" s="2">
        <v>1050.5229894221402</v>
      </c>
    </row>
    <row r="34" spans="1:22" s="1" customFormat="1" x14ac:dyDescent="0.35">
      <c r="A34" s="1">
        <v>21</v>
      </c>
      <c r="B34" s="1">
        <v>5520</v>
      </c>
      <c r="C34" s="2">
        <v>293.130040964952</v>
      </c>
      <c r="D34" s="2">
        <v>400</v>
      </c>
      <c r="E34" s="2">
        <v>421.43931543013201</v>
      </c>
      <c r="F34" s="2">
        <v>274.90888142922199</v>
      </c>
      <c r="G34" s="2">
        <v>219.82345671370101</v>
      </c>
      <c r="H34" s="2">
        <v>253.740302776513</v>
      </c>
      <c r="I34" s="2">
        <v>298.61751370050098</v>
      </c>
      <c r="J34" s="2">
        <v>218.690404551661</v>
      </c>
      <c r="K34" s="2">
        <v>279.58145448338701</v>
      </c>
      <c r="L34" s="2">
        <v>228.951299044151</v>
      </c>
      <c r="M34" s="2">
        <v>1137.3467435954049</v>
      </c>
      <c r="N34" s="2">
        <v>1541.413963325205</v>
      </c>
      <c r="O34" s="2">
        <v>1707.5783885716601</v>
      </c>
      <c r="P34" s="2">
        <v>1257.48671551036</v>
      </c>
      <c r="Q34" s="2">
        <v>927.43795345351009</v>
      </c>
      <c r="R34" s="2">
        <v>1115.2987436174949</v>
      </c>
      <c r="S34" s="2">
        <v>1152.30616610948</v>
      </c>
      <c r="T34" s="2">
        <v>1001.8892112658451</v>
      </c>
      <c r="U34" s="2">
        <v>1272.9201228181551</v>
      </c>
      <c r="V34" s="2">
        <v>1100.67072510554</v>
      </c>
    </row>
    <row r="35" spans="1:22" s="1" customFormat="1" x14ac:dyDescent="0.35">
      <c r="A35" s="1">
        <v>22</v>
      </c>
      <c r="B35" s="1">
        <v>5116</v>
      </c>
      <c r="C35" s="2">
        <v>291.76875812471599</v>
      </c>
      <c r="D35" s="2">
        <v>308.36047118798399</v>
      </c>
      <c r="E35" s="2">
        <v>395.233137915339</v>
      </c>
      <c r="F35" s="2">
        <v>440.24463723258998</v>
      </c>
      <c r="G35" s="2">
        <v>241.30709999999999</v>
      </c>
      <c r="H35" s="2">
        <v>306.03810086481599</v>
      </c>
      <c r="I35" s="2">
        <v>231.852898088302</v>
      </c>
      <c r="J35" s="2">
        <v>236.430873190715</v>
      </c>
      <c r="K35" s="2">
        <v>264.20929699590403</v>
      </c>
      <c r="L35" s="2">
        <v>253.05750022758301</v>
      </c>
      <c r="M35" s="2">
        <v>1133.6213387227949</v>
      </c>
      <c r="N35" s="2">
        <v>1282.13272055427</v>
      </c>
      <c r="O35" s="2">
        <v>1631.4951587256551</v>
      </c>
      <c r="P35" s="2">
        <v>1761.20514373947</v>
      </c>
      <c r="Q35" s="2">
        <v>991.09136560681998</v>
      </c>
      <c r="R35" s="2">
        <v>1275.25127059175</v>
      </c>
      <c r="S35" s="2">
        <v>963.3227930575149</v>
      </c>
      <c r="T35" s="2">
        <v>1059.992810613385</v>
      </c>
      <c r="U35" s="2">
        <v>1221.8126160966501</v>
      </c>
      <c r="V35" s="2">
        <v>1184.1142066264201</v>
      </c>
    </row>
    <row r="36" spans="1:22" s="1" customFormat="1" x14ac:dyDescent="0.35">
      <c r="A36" s="1">
        <v>23</v>
      </c>
      <c r="B36" s="1">
        <v>4937</v>
      </c>
      <c r="C36" s="2">
        <v>273.15102412380497</v>
      </c>
      <c r="D36" s="2">
        <v>324.14385580336801</v>
      </c>
      <c r="E36" s="2">
        <v>475.04254710969502</v>
      </c>
      <c r="F36" s="2">
        <v>500</v>
      </c>
      <c r="G36" s="2">
        <v>237.139882749203</v>
      </c>
      <c r="H36" s="2">
        <v>263.40120000000002</v>
      </c>
      <c r="I36" s="2">
        <v>204.44159999999999</v>
      </c>
      <c r="J36" s="2">
        <v>271.16163641329098</v>
      </c>
      <c r="K36" s="2">
        <v>290.68937756030903</v>
      </c>
      <c r="L36" s="2">
        <v>280.36532726445199</v>
      </c>
      <c r="M36" s="2">
        <v>1082.0726022542949</v>
      </c>
      <c r="N36" s="2">
        <v>1328.452210152195</v>
      </c>
      <c r="O36" s="2">
        <v>1858.4683648252899</v>
      </c>
      <c r="P36" s="2">
        <v>1926.767454156505</v>
      </c>
      <c r="Q36" s="2">
        <v>978.897095235395</v>
      </c>
      <c r="R36" s="2">
        <v>1145.6183562761</v>
      </c>
      <c r="S36" s="2">
        <v>880.58282250333002</v>
      </c>
      <c r="T36" s="2">
        <v>1169.7058396042401</v>
      </c>
      <c r="U36" s="2">
        <v>1309.268590840815</v>
      </c>
      <c r="V36" s="2">
        <v>1275.500786977065</v>
      </c>
    </row>
    <row r="37" spans="1:22" s="1" customFormat="1" x14ac:dyDescent="0.35">
      <c r="A37" s="1">
        <v>24</v>
      </c>
      <c r="B37" s="1">
        <v>4725</v>
      </c>
      <c r="C37" s="2">
        <v>297.92786613563999</v>
      </c>
      <c r="D37" s="2">
        <v>239.040942193901</v>
      </c>
      <c r="E37" s="2">
        <v>500</v>
      </c>
      <c r="F37" s="2">
        <v>500</v>
      </c>
      <c r="G37" s="2">
        <v>300</v>
      </c>
      <c r="H37" s="2">
        <v>229.35129722348699</v>
      </c>
      <c r="I37" s="2">
        <v>216.464582976787</v>
      </c>
      <c r="J37" s="2">
        <v>312.25714574419698</v>
      </c>
      <c r="K37" s="2">
        <v>332.75725421028699</v>
      </c>
      <c r="L37" s="2">
        <v>285.89350000000002</v>
      </c>
      <c r="M37" s="2">
        <v>1150.431180530655</v>
      </c>
      <c r="N37" s="2">
        <v>1068.41663792296</v>
      </c>
      <c r="O37" s="2">
        <v>1926.767454156505</v>
      </c>
      <c r="P37" s="2">
        <v>1926.767454156505</v>
      </c>
      <c r="Q37" s="2">
        <v>1156.0604724938999</v>
      </c>
      <c r="R37" s="2">
        <v>1036.98624382703</v>
      </c>
      <c r="S37" s="2">
        <v>917.30219326092003</v>
      </c>
      <c r="T37" s="2">
        <v>1293.6403391742199</v>
      </c>
      <c r="U37" s="2">
        <v>1442.938082972925</v>
      </c>
      <c r="V37" s="2">
        <v>1293.632872950335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B6F-29B8-4936-8A87-8F771220E35F}">
  <dimension ref="A1:DP25"/>
  <sheetViews>
    <sheetView workbookViewId="0">
      <selection activeCell="B2" sqref="B2:B25"/>
    </sheetView>
  </sheetViews>
  <sheetFormatPr defaultRowHeight="14.15" x14ac:dyDescent="0.35"/>
  <cols>
    <col min="1" max="1" width="9.140625" style="3"/>
    <col min="2" max="2" width="14.85546875" style="3" customWidth="1"/>
    <col min="3" max="3" width="11.5703125" style="3" customWidth="1"/>
    <col min="4" max="4" width="11" style="3" customWidth="1"/>
    <col min="5" max="5" width="11.2109375" style="3" customWidth="1"/>
    <col min="6" max="119" width="9.140625" style="3"/>
    <col min="120" max="120" width="9.140625" style="3" customWidth="1"/>
    <col min="121" max="16384" width="9.140625" style="3"/>
  </cols>
  <sheetData>
    <row r="1" spans="1:120" ht="30" customHeight="1" x14ac:dyDescent="0.35">
      <c r="A1" s="3" t="s">
        <v>146</v>
      </c>
      <c r="B1" s="3" t="s">
        <v>30</v>
      </c>
      <c r="C1" s="3" t="s">
        <v>27</v>
      </c>
      <c r="D1" s="3" t="s">
        <v>28</v>
      </c>
      <c r="E1" s="3" t="s">
        <v>29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60</v>
      </c>
      <c r="AJ1" s="3" t="s">
        <v>61</v>
      </c>
      <c r="AK1" s="3" t="s">
        <v>62</v>
      </c>
      <c r="AL1" s="3" t="s">
        <v>63</v>
      </c>
      <c r="AM1" s="3" t="s">
        <v>64</v>
      </c>
      <c r="AN1" s="3" t="s">
        <v>65</v>
      </c>
      <c r="AO1" s="3" t="s">
        <v>66</v>
      </c>
      <c r="AP1" s="3" t="s">
        <v>67</v>
      </c>
      <c r="AQ1" s="3" t="s">
        <v>68</v>
      </c>
      <c r="AR1" s="3" t="s">
        <v>69</v>
      </c>
      <c r="AS1" s="3" t="s">
        <v>70</v>
      </c>
      <c r="AT1" s="3" t="s">
        <v>71</v>
      </c>
      <c r="AU1" s="3" t="s">
        <v>72</v>
      </c>
      <c r="AV1" s="3" t="s">
        <v>73</v>
      </c>
      <c r="AW1" s="3" t="s">
        <v>74</v>
      </c>
      <c r="AX1" s="3" t="s">
        <v>75</v>
      </c>
      <c r="AY1" s="3" t="s">
        <v>76</v>
      </c>
      <c r="AZ1" s="3" t="s">
        <v>77</v>
      </c>
      <c r="BA1" s="3" t="s">
        <v>78</v>
      </c>
      <c r="BB1" s="3" t="s">
        <v>79</v>
      </c>
      <c r="BC1" s="3" t="s">
        <v>80</v>
      </c>
      <c r="BD1" s="3" t="s">
        <v>81</v>
      </c>
      <c r="BE1" s="3" t="s">
        <v>82</v>
      </c>
      <c r="BF1" s="3" t="s">
        <v>83</v>
      </c>
      <c r="BG1" s="3" t="s">
        <v>84</v>
      </c>
      <c r="BH1" s="3" t="s">
        <v>85</v>
      </c>
      <c r="BI1" s="3" t="s">
        <v>86</v>
      </c>
      <c r="BJ1" s="3" t="s">
        <v>87</v>
      </c>
      <c r="BK1" s="3" t="s">
        <v>88</v>
      </c>
      <c r="BL1" s="3" t="s">
        <v>89</v>
      </c>
      <c r="BM1" s="3" t="s">
        <v>90</v>
      </c>
      <c r="BN1" s="3" t="s">
        <v>91</v>
      </c>
      <c r="BO1" s="3" t="s">
        <v>92</v>
      </c>
      <c r="BP1" s="3" t="s">
        <v>93</v>
      </c>
      <c r="BQ1" s="3" t="s">
        <v>94</v>
      </c>
      <c r="BR1" s="3" t="s">
        <v>95</v>
      </c>
      <c r="BS1" s="3" t="s">
        <v>96</v>
      </c>
      <c r="BT1" s="3" t="s">
        <v>97</v>
      </c>
      <c r="BU1" s="3" t="s">
        <v>98</v>
      </c>
      <c r="BV1" s="3" t="s">
        <v>99</v>
      </c>
      <c r="BW1" s="3" t="s">
        <v>100</v>
      </c>
      <c r="BX1" s="3" t="s">
        <v>101</v>
      </c>
      <c r="BY1" s="3" t="s">
        <v>102</v>
      </c>
      <c r="BZ1" s="3" t="s">
        <v>103</v>
      </c>
      <c r="CA1" s="3" t="s">
        <v>104</v>
      </c>
      <c r="CB1" s="3" t="s">
        <v>105</v>
      </c>
      <c r="CC1" s="3" t="s">
        <v>106</v>
      </c>
      <c r="CD1" s="3" t="s">
        <v>107</v>
      </c>
      <c r="CE1" s="3" t="s">
        <v>108</v>
      </c>
      <c r="CF1" s="3" t="s">
        <v>109</v>
      </c>
      <c r="CG1" s="3" t="s">
        <v>110</v>
      </c>
      <c r="CH1" s="3" t="s">
        <v>111</v>
      </c>
      <c r="CI1" s="3" t="s">
        <v>112</v>
      </c>
      <c r="CJ1" s="3" t="s">
        <v>113</v>
      </c>
      <c r="CK1" s="3" t="s">
        <v>114</v>
      </c>
      <c r="CL1" s="3" t="s">
        <v>115</v>
      </c>
      <c r="CM1" s="3" t="s">
        <v>116</v>
      </c>
      <c r="CN1" s="3" t="s">
        <v>117</v>
      </c>
      <c r="CO1" s="3" t="s">
        <v>118</v>
      </c>
      <c r="CP1" s="3" t="s">
        <v>119</v>
      </c>
      <c r="CQ1" s="3" t="s">
        <v>120</v>
      </c>
      <c r="CR1" s="3" t="s">
        <v>121</v>
      </c>
      <c r="CS1" s="3" t="s">
        <v>122</v>
      </c>
      <c r="CT1" s="3" t="s">
        <v>123</v>
      </c>
      <c r="CU1" s="3" t="s">
        <v>124</v>
      </c>
      <c r="CV1" s="3" t="s">
        <v>125</v>
      </c>
      <c r="CW1" s="3" t="s">
        <v>126</v>
      </c>
      <c r="CX1" s="3" t="s">
        <v>127</v>
      </c>
      <c r="CY1" s="3" t="s">
        <v>128</v>
      </c>
      <c r="CZ1" s="3" t="s">
        <v>129</v>
      </c>
      <c r="DA1" s="3" t="s">
        <v>130</v>
      </c>
      <c r="DB1" s="3" t="s">
        <v>131</v>
      </c>
      <c r="DC1" s="3" t="s">
        <v>132</v>
      </c>
      <c r="DD1" s="3" t="s">
        <v>133</v>
      </c>
      <c r="DE1" s="3" t="s">
        <v>134</v>
      </c>
      <c r="DF1" s="3" t="s">
        <v>135</v>
      </c>
      <c r="DG1" s="3" t="s">
        <v>136</v>
      </c>
      <c r="DH1" s="3" t="s">
        <v>137</v>
      </c>
      <c r="DI1" s="3" t="s">
        <v>138</v>
      </c>
      <c r="DJ1" s="3" t="s">
        <v>139</v>
      </c>
      <c r="DK1" s="3" t="s">
        <v>140</v>
      </c>
      <c r="DL1" s="3" t="s">
        <v>141</v>
      </c>
      <c r="DM1" s="3" t="s">
        <v>142</v>
      </c>
      <c r="DN1" s="3" t="s">
        <v>143</v>
      </c>
      <c r="DO1" s="3" t="s">
        <v>144</v>
      </c>
      <c r="DP1" s="3" t="s">
        <v>145</v>
      </c>
    </row>
    <row r="2" spans="1:120" x14ac:dyDescent="0.35">
      <c r="A2" s="3">
        <v>1</v>
      </c>
      <c r="B2" s="3">
        <v>4578</v>
      </c>
      <c r="C2" s="3">
        <f>0.012022630834512*B2</f>
        <v>55.039603960395937</v>
      </c>
      <c r="D2" s="4">
        <f>0.00471475719000472*B2</f>
        <v>21.58415841584161</v>
      </c>
      <c r="E2" s="4">
        <f>B2*0.00919377652050919</f>
        <v>42.089108910891071</v>
      </c>
      <c r="F2" s="4">
        <f>0.00919377652050919*B2</f>
        <v>42.089108910891071</v>
      </c>
      <c r="G2" s="4">
        <v>0</v>
      </c>
      <c r="H2" s="4">
        <f>0.0122583686940123*B2</f>
        <v>56.118811881188307</v>
      </c>
      <c r="I2" s="4">
        <f>0.00447901933050448*B2</f>
        <v>20.504950495049506</v>
      </c>
      <c r="J2" s="4">
        <f>0.0066006600660066*B2</f>
        <v>30.217821782178213</v>
      </c>
      <c r="K2" s="4">
        <v>0</v>
      </c>
      <c r="L2" s="4">
        <v>0</v>
      </c>
      <c r="M2" s="4">
        <f>B2*0.0165016501650165</f>
        <v>75.544554455445535</v>
      </c>
      <c r="N2" s="4">
        <f>B2*0.0110796793965111</f>
        <v>50.722772277227818</v>
      </c>
      <c r="O2" s="4">
        <f>B2*0.00801508722300802</f>
        <v>36.693069306930717</v>
      </c>
      <c r="P2" s="4">
        <f>B2*0.0033003300330033</f>
        <v>15.108910891089106</v>
      </c>
      <c r="Q2" s="4">
        <f>B2*0.0212164073550212</f>
        <v>97.12871287128705</v>
      </c>
      <c r="R2" s="4">
        <f>B2*0.00589344648750589</f>
        <v>26.980198019801964</v>
      </c>
      <c r="S2" s="4">
        <f>B2*0.00259311645450259</f>
        <v>11.871287128712858</v>
      </c>
      <c r="T2" s="4">
        <f>B2*0.0141442715700141</f>
        <v>64.752475247524544</v>
      </c>
      <c r="U2" s="4">
        <f>B2*0.0106082036775106</f>
        <v>48.564356435643525</v>
      </c>
      <c r="V2" s="4">
        <f>B2*0.00424328147100424</f>
        <v>19.425742574257409</v>
      </c>
      <c r="W2" s="4">
        <f>B2*0.0033003300330033</f>
        <v>15.108910891089106</v>
      </c>
      <c r="X2" s="4">
        <f>B2*0.00235737859500236</f>
        <v>10.792079207920805</v>
      </c>
      <c r="Y2" s="4">
        <f>B2*0.00165016501650165</f>
        <v>7.5544554455445532</v>
      </c>
      <c r="Z2" s="4">
        <f>B2*0.00306459217350306</f>
        <v>14.029702970297009</v>
      </c>
      <c r="AA2" s="4">
        <v>0</v>
      </c>
      <c r="AB2" s="4">
        <v>0</v>
      </c>
      <c r="AC2" s="4">
        <f>B2*0.0167373880245167</f>
        <v>76.623762376237451</v>
      </c>
      <c r="AD2" s="4">
        <f>B2*0.00400754361150401</f>
        <v>18.346534653465358</v>
      </c>
      <c r="AE2" s="4">
        <f>B2*0.00565770862800566</f>
        <v>25.90099009900991</v>
      </c>
      <c r="AF2" s="4">
        <v>0</v>
      </c>
      <c r="AG2" s="4">
        <f>B2*0.0101367279585101</f>
        <v>46.405940594059231</v>
      </c>
      <c r="AH2" s="4">
        <f>B2*0.0139085337105139</f>
        <v>63.673267326732635</v>
      </c>
      <c r="AI2" s="4">
        <f>B2*0.00542197076850542</f>
        <v>24.821782178217813</v>
      </c>
      <c r="AJ2" s="4">
        <f>B2*0.0139085337105139</f>
        <v>63.673267326732635</v>
      </c>
      <c r="AK2" s="4">
        <f>B2*0.00777934936350778</f>
        <v>35.613861386138616</v>
      </c>
      <c r="AL2" s="4">
        <f>B2*0.00730787364450731</f>
        <v>33.455445544554465</v>
      </c>
      <c r="AM2" s="4">
        <v>0</v>
      </c>
      <c r="AN2" s="4">
        <v>0</v>
      </c>
      <c r="AO2" s="4">
        <f>B2*0.00636492220650637</f>
        <v>29.138613861386158</v>
      </c>
      <c r="AP2" s="4">
        <f>B2*0.0155586987270156</f>
        <v>71.227722772277417</v>
      </c>
      <c r="AQ2" s="4">
        <f>B2*0.00872230080150872</f>
        <v>39.930693069306919</v>
      </c>
      <c r="AR2" s="4">
        <f>B2*0.0226308345120226</f>
        <v>103.60396039603947</v>
      </c>
      <c r="AS2" s="4">
        <f>B2*0.00424328147100424</f>
        <v>19.425742574257409</v>
      </c>
      <c r="AT2" s="4">
        <f>B2*0.00377180575200377</f>
        <v>17.267326732673258</v>
      </c>
      <c r="AU2" s="4">
        <f>B2*0.0124941065535125</f>
        <v>57.198019801980223</v>
      </c>
      <c r="AV2" s="4">
        <f>B2*0.0066006600660066</f>
        <v>30.217821782178213</v>
      </c>
      <c r="AW2" s="4">
        <f>B2*0.00801508722300802</f>
        <v>36.693069306930717</v>
      </c>
      <c r="AX2" s="4">
        <f>B2*0.00471475719000472</f>
        <v>21.58415841584161</v>
      </c>
      <c r="AY2" s="4">
        <f>B2*0.0205091937765205</f>
        <v>93.891089108910847</v>
      </c>
      <c r="AZ2" s="4">
        <f>B2*0.00400754361150401</f>
        <v>18.346534653465358</v>
      </c>
      <c r="BA2" s="4">
        <f>B2*0.00400754361150401</f>
        <v>18.346534653465358</v>
      </c>
      <c r="BB2" s="4">
        <f>B2*0.00424328147100424</f>
        <v>19.425742574257409</v>
      </c>
      <c r="BC2" s="4">
        <f>B2*0.00542197076850542</f>
        <v>24.821782178217813</v>
      </c>
      <c r="BD2" s="4">
        <f>B2*0.0266383781235266</f>
        <v>121.95049504950477</v>
      </c>
      <c r="BE2" s="4">
        <f>B2*0.0148514851485149</f>
        <v>67.990099009901215</v>
      </c>
      <c r="BF2" s="4">
        <f>B2*0.0198019801980198</f>
        <v>90.653465346534645</v>
      </c>
      <c r="BG2" s="4">
        <f>B2*0.00282885431400283</f>
        <v>12.950495049504955</v>
      </c>
      <c r="BH2" s="4">
        <f>B2*0.00282885431400283</f>
        <v>12.950495049504955</v>
      </c>
      <c r="BI2" s="4">
        <f>B2*0.0652993870815653</f>
        <v>298.94059405940595</v>
      </c>
      <c r="BJ2" s="4">
        <f>B2*0.0183875530410184</f>
        <v>84.178217821782241</v>
      </c>
      <c r="BK2" s="4">
        <v>0</v>
      </c>
      <c r="BL2" s="4">
        <f>B2*0.0181518151815182</f>
        <v>83.099009900990325</v>
      </c>
      <c r="BM2" s="4">
        <v>0</v>
      </c>
      <c r="BN2" s="4">
        <v>0</v>
      </c>
      <c r="BO2" s="4">
        <v>0</v>
      </c>
      <c r="BP2" s="4">
        <f>B2*0.00919377652050919</f>
        <v>42.089108910891071</v>
      </c>
      <c r="BQ2" s="4">
        <f>B2*0.0066006600660066</f>
        <v>30.217821782178213</v>
      </c>
      <c r="BR2" s="4">
        <v>0</v>
      </c>
      <c r="BS2" s="4">
        <v>0</v>
      </c>
      <c r="BT2" s="4">
        <f>B2*0.0155586987270156</f>
        <v>71.227722772277417</v>
      </c>
      <c r="BU2" s="4">
        <v>0</v>
      </c>
      <c r="BV2" s="4">
        <f>B2*0.00282885431400283</f>
        <v>12.950495049504955</v>
      </c>
      <c r="BW2" s="4">
        <f>B2*0.00141442715700141</f>
        <v>6.4752475247524544</v>
      </c>
      <c r="BX2" s="4">
        <f>B2*0.016030174446016</f>
        <v>73.386138613861249</v>
      </c>
      <c r="BY2" s="4">
        <f>B2*0.0110796793965111</f>
        <v>50.722772277227818</v>
      </c>
      <c r="BZ2" s="4">
        <f>B2*0.016030174446016</f>
        <v>73.386138613861249</v>
      </c>
      <c r="CA2" s="4">
        <f>B2*0.0143800094295144</f>
        <v>65.831683168316928</v>
      </c>
      <c r="CB2" s="4">
        <f>B2*0.0167373880245167</f>
        <v>76.623762376237451</v>
      </c>
      <c r="CC2" s="4">
        <f>B2*0.00919377652050919</f>
        <v>42.089108910891071</v>
      </c>
      <c r="CD2" s="4">
        <f>B2*0.0306459217350306</f>
        <v>140.29702970297009</v>
      </c>
      <c r="CE2" s="4">
        <v>0</v>
      </c>
      <c r="CF2" s="4">
        <f>B2*0.0127298444130127</f>
        <v>58.277227722772139</v>
      </c>
      <c r="CG2" s="4">
        <f>B2*0.00471475719000472</f>
        <v>21.58415841584161</v>
      </c>
      <c r="CH2" s="4">
        <f>B2*0.00259311645450259</f>
        <v>11.871287128712858</v>
      </c>
      <c r="CI2" s="4">
        <f>B2*0.00565770862800566</f>
        <v>25.90099009900991</v>
      </c>
      <c r="CJ2" s="4">
        <f>B2*0.00495049504950495</f>
        <v>22.663366336633661</v>
      </c>
      <c r="CK2" s="4">
        <v>0</v>
      </c>
      <c r="CL2" s="4">
        <f>B2*0.0113154172560113</f>
        <v>51.801980198019734</v>
      </c>
      <c r="CM2" s="4">
        <v>0</v>
      </c>
      <c r="CN2" s="4">
        <f>B2*0.0384252710985384</f>
        <v>175.91089108910879</v>
      </c>
      <c r="CO2" s="4">
        <f>B2*0.00235737859500236</f>
        <v>10.792079207920805</v>
      </c>
      <c r="CP2" s="4">
        <f>B2*0.0153229608675153</f>
        <v>70.148514851485047</v>
      </c>
      <c r="CQ2" s="4">
        <f>B2*0.00282885431400283</f>
        <v>12.950495049504955</v>
      </c>
      <c r="CR2" s="4">
        <f>B2*0.00707213578500707</f>
        <v>32.376237623762364</v>
      </c>
      <c r="CS2" s="4">
        <f>B2*0.0099009900990099</f>
        <v>45.326732673267323</v>
      </c>
      <c r="CT2" s="4">
        <f>B2*0.00895803866100896</f>
        <v>41.009900990099013</v>
      </c>
      <c r="CU2" s="4">
        <f>B2*0.00353606789250354</f>
        <v>16.188118811881207</v>
      </c>
      <c r="CV2" s="4">
        <f>B2*0.00801508722300802</f>
        <v>36.693069306930717</v>
      </c>
      <c r="CW2" s="4">
        <f>B2*0.0099009900990099</f>
        <v>45.326732673267323</v>
      </c>
      <c r="CX2" s="4">
        <f>B2*0.00872230080150872</f>
        <v>39.930693069306919</v>
      </c>
      <c r="CY2" s="4">
        <f>B2*0.00518623290900519</f>
        <v>23.742574257425762</v>
      </c>
      <c r="CZ2" s="4">
        <f>B2*0.00117868929750118</f>
        <v>5.3960396039604026</v>
      </c>
      <c r="DA2" s="4">
        <f>B2*0.00542197076850542</f>
        <v>24.821782178217813</v>
      </c>
      <c r="DB2" s="4">
        <f>B2*0.00895803866100896</f>
        <v>41.009900990099013</v>
      </c>
      <c r="DC2" s="4">
        <f>B2*0.00730787364450731</f>
        <v>33.455445544554465</v>
      </c>
      <c r="DD2" s="4">
        <f>B2*0.0101367279585101</f>
        <v>46.405940594059231</v>
      </c>
      <c r="DE2" s="4">
        <f>B2*0.0117868929750118</f>
        <v>53.960396039604021</v>
      </c>
      <c r="DF2" s="4">
        <f>B2*0.000471475719000471</f>
        <v>2.1584158415841563</v>
      </c>
      <c r="DG2" s="4">
        <f>B2*0.00188590287600189</f>
        <v>8.633663366336652</v>
      </c>
      <c r="DH2" s="4">
        <f>B2*0.00919377652050919</f>
        <v>42.089108910891071</v>
      </c>
      <c r="DI2" s="4">
        <v>0</v>
      </c>
      <c r="DJ2" s="4">
        <f>B2*0.016030174446016</f>
        <v>73.386138613861249</v>
      </c>
      <c r="DK2" s="4">
        <f>B2*0.00141442715700141</f>
        <v>6.4752475247524544</v>
      </c>
      <c r="DL2" s="4">
        <f>B2*0.00188590287600189</f>
        <v>8.633663366336652</v>
      </c>
      <c r="DM2" s="4">
        <f>B2*0.00518623290900519</f>
        <v>23.742574257425762</v>
      </c>
      <c r="DN2" s="4">
        <f>B2*0.0433757661480434</f>
        <v>198.57425742574267</v>
      </c>
      <c r="DO2" s="4">
        <f>B2*0.00471475719000472</f>
        <v>21.58415841584161</v>
      </c>
      <c r="DP2" s="4">
        <f>B2*0.00777934936350778</f>
        <v>35.613861386138616</v>
      </c>
    </row>
    <row r="3" spans="1:120" x14ac:dyDescent="0.35">
      <c r="A3" s="3">
        <v>2</v>
      </c>
      <c r="B3" s="3">
        <v>4382</v>
      </c>
      <c r="C3" s="3">
        <f t="shared" ref="C3:C25" si="0">0.012022630834512*B3</f>
        <v>52.683168316831583</v>
      </c>
      <c r="D3" s="4">
        <f t="shared" ref="D3:D25" si="1">0.00471475719000472*B3</f>
        <v>20.660066006600683</v>
      </c>
      <c r="E3" s="4">
        <f t="shared" ref="E3:E25" si="2">B3*0.00919377652050919</f>
        <v>40.287128712871272</v>
      </c>
      <c r="F3" s="4">
        <f t="shared" ref="F3:F25" si="3">0.00919377652050919*B3</f>
        <v>40.287128712871272</v>
      </c>
      <c r="G3" s="4">
        <v>0</v>
      </c>
      <c r="H3" s="4">
        <f t="shared" ref="H3:H25" si="4">0.0122583686940123*B3</f>
        <v>53.716171617161898</v>
      </c>
      <c r="I3" s="4">
        <f t="shared" ref="I3:I25" si="5">0.00447901933050448*B3</f>
        <v>19.627062706270628</v>
      </c>
      <c r="J3" s="4">
        <f t="shared" ref="J3:J25" si="6">0.0066006600660066*B3</f>
        <v>28.92409240924092</v>
      </c>
      <c r="K3" s="4">
        <v>0</v>
      </c>
      <c r="L3" s="4">
        <v>0</v>
      </c>
      <c r="M3" s="4">
        <f t="shared" ref="M3:M25" si="7">B3*0.0165016501650165</f>
        <v>72.310231023102304</v>
      </c>
      <c r="N3" s="4">
        <f t="shared" ref="N3:N25" si="8">B3*0.0110796793965111</f>
        <v>48.551155115511641</v>
      </c>
      <c r="O3" s="4">
        <f t="shared" ref="O3:O25" si="9">B3*0.00801508722300802</f>
        <v>35.122112211221143</v>
      </c>
      <c r="P3" s="4">
        <f t="shared" ref="P3:P25" si="10">B3*0.0033003300330033</f>
        <v>14.46204620462046</v>
      </c>
      <c r="Q3" s="4">
        <f t="shared" ref="Q3:Q25" si="11">B3*0.0212164073550212</f>
        <v>92.970297029702891</v>
      </c>
      <c r="R3" s="4">
        <f t="shared" ref="R3:R25" si="12">B3*0.00589344648750589</f>
        <v>25.825082508250809</v>
      </c>
      <c r="S3" s="4">
        <f t="shared" ref="S3:S25" si="13">B3*0.00259311645450259</f>
        <v>11.363036303630349</v>
      </c>
      <c r="T3" s="4">
        <f t="shared" ref="T3:T25" si="14">B3*0.0141442715700141</f>
        <v>61.98019801980179</v>
      </c>
      <c r="U3" s="4">
        <f t="shared" ref="U3:U25" si="15">B3*0.0106082036775106</f>
        <v>46.485148514851446</v>
      </c>
      <c r="V3" s="4">
        <f t="shared" ref="V3:V25" si="16">B3*0.00424328147100424</f>
        <v>18.594059405940577</v>
      </c>
      <c r="W3" s="4">
        <f t="shared" ref="W3:W25" si="17">B3*0.0033003300330033</f>
        <v>14.46204620462046</v>
      </c>
      <c r="X3" s="4">
        <f t="shared" ref="X3:X25" si="18">B3*0.00235737859500236</f>
        <v>10.330033003300342</v>
      </c>
      <c r="Y3" s="4">
        <f t="shared" ref="Y3:Y25" si="19">B3*0.00165016501650165</f>
        <v>7.23102310231023</v>
      </c>
      <c r="Z3" s="4">
        <f t="shared" ref="Z3:Z25" si="20">B3*0.00306459217350306</f>
        <v>13.429042904290409</v>
      </c>
      <c r="AA3" s="4">
        <v>0</v>
      </c>
      <c r="AB3" s="4">
        <v>0</v>
      </c>
      <c r="AC3" s="4">
        <f t="shared" ref="AC3:AC25" si="21">B3*0.0167373880245167</f>
        <v>73.343234323432185</v>
      </c>
      <c r="AD3" s="4">
        <f t="shared" ref="AD3:AD25" si="22">B3*0.00400754361150401</f>
        <v>17.561056105610572</v>
      </c>
      <c r="AE3" s="4">
        <f t="shared" ref="AE3:AE25" si="23">B3*0.00565770862800566</f>
        <v>24.7920792079208</v>
      </c>
      <c r="AF3" s="4">
        <v>0</v>
      </c>
      <c r="AG3" s="4">
        <f t="shared" ref="AG3:AG25" si="24">B3*0.0101367279585101</f>
        <v>44.419141914191258</v>
      </c>
      <c r="AH3" s="4">
        <f t="shared" ref="AH3:AH25" si="25">B3*0.0139085337105139</f>
        <v>60.947194719471909</v>
      </c>
      <c r="AI3" s="4">
        <f t="shared" ref="AI3:AI25" si="26">B3*0.00542197076850542</f>
        <v>23.759075907590748</v>
      </c>
      <c r="AJ3" s="4">
        <f t="shared" ref="AJ3:AJ25" si="27">B3*0.0139085337105139</f>
        <v>60.947194719471909</v>
      </c>
      <c r="AK3" s="4">
        <f t="shared" ref="AK3:AK25" si="28">B3*0.00777934936350778</f>
        <v>34.089108910891092</v>
      </c>
      <c r="AL3" s="4">
        <f t="shared" ref="AL3:AL25" si="29">B3*0.00730787364450731</f>
        <v>32.023102310231032</v>
      </c>
      <c r="AM3" s="4">
        <v>0</v>
      </c>
      <c r="AN3" s="4">
        <v>0</v>
      </c>
      <c r="AO3" s="4">
        <f t="shared" ref="AO3:AO25" si="30">B3*0.00636492220650637</f>
        <v>27.891089108910911</v>
      </c>
      <c r="AP3" s="4">
        <f t="shared" ref="AP3:AP25" si="31">B3*0.0155586987270156</f>
        <v>68.178217821782354</v>
      </c>
      <c r="AQ3" s="4">
        <f t="shared" ref="AQ3:AQ25" si="32">B3*0.00872230080150872</f>
        <v>38.221122112211205</v>
      </c>
      <c r="AR3" s="4">
        <f t="shared" ref="AR3:AR25" si="33">B3*0.0226308345120226</f>
        <v>99.168316831683029</v>
      </c>
      <c r="AS3" s="4">
        <f t="shared" ref="AS3:AS25" si="34">B3*0.00424328147100424</f>
        <v>18.594059405940577</v>
      </c>
      <c r="AT3" s="4">
        <f t="shared" ref="AT3:AT25" si="35">B3*0.00377180575200377</f>
        <v>16.52805280528052</v>
      </c>
      <c r="AU3" s="4">
        <f t="shared" ref="AU3:AU25" si="36">B3*0.0124941065535125</f>
        <v>54.749174917491771</v>
      </c>
      <c r="AV3" s="4">
        <f t="shared" ref="AV3:AV25" si="37">B3*0.0066006600660066</f>
        <v>28.92409240924092</v>
      </c>
      <c r="AW3" s="4">
        <f t="shared" ref="AW3:AW25" si="38">B3*0.00801508722300802</f>
        <v>35.122112211221143</v>
      </c>
      <c r="AX3" s="4">
        <f t="shared" ref="AX3:AX25" si="39">B3*0.00471475719000472</f>
        <v>20.660066006600683</v>
      </c>
      <c r="AY3" s="4">
        <f t="shared" ref="AY3:AY25" si="40">B3*0.0205091937765205</f>
        <v>89.871287128712822</v>
      </c>
      <c r="AZ3" s="4">
        <f t="shared" ref="AZ3:AZ25" si="41">B3*0.00400754361150401</f>
        <v>17.561056105610572</v>
      </c>
      <c r="BA3" s="4">
        <f t="shared" ref="BA3:BA25" si="42">B3*0.00400754361150401</f>
        <v>17.561056105610572</v>
      </c>
      <c r="BB3" s="4">
        <f t="shared" ref="BB3:BB25" si="43">B3*0.00424328147100424</f>
        <v>18.594059405940577</v>
      </c>
      <c r="BC3" s="4">
        <f t="shared" ref="BC3:BC25" si="44">B3*0.00542197076850542</f>
        <v>23.759075907590748</v>
      </c>
      <c r="BD3" s="4">
        <f t="shared" ref="BD3:BD25" si="45">B3*0.0266383781235266</f>
        <v>116.72937293729356</v>
      </c>
      <c r="BE3" s="4">
        <f t="shared" ref="BE3:BE25" si="46">B3*0.0148514851485149</f>
        <v>65.079207920792285</v>
      </c>
      <c r="BF3" s="4">
        <f t="shared" ref="BF3:BF25" si="47">B3*0.0198019801980198</f>
        <v>86.772277227722753</v>
      </c>
      <c r="BG3" s="4">
        <f t="shared" ref="BG3:BG25" si="48">B3*0.00282885431400283</f>
        <v>12.3960396039604</v>
      </c>
      <c r="BH3" s="4">
        <f t="shared" ref="BH3:BH25" si="49">B3*0.00282885431400283</f>
        <v>12.3960396039604</v>
      </c>
      <c r="BI3" s="4">
        <f t="shared" ref="BI3:BI25" si="50">B3*0.0652993870815653</f>
        <v>286.14191419141912</v>
      </c>
      <c r="BJ3" s="4">
        <f t="shared" ref="BJ3:BJ25" si="51">B3*0.0183875530410184</f>
        <v>80.57425742574263</v>
      </c>
      <c r="BK3" s="4">
        <v>0</v>
      </c>
      <c r="BL3" s="4">
        <f t="shared" ref="BL3:BL25" si="52">B3*0.0181518151815182</f>
        <v>79.541254125412763</v>
      </c>
      <c r="BM3" s="4">
        <v>0</v>
      </c>
      <c r="BN3" s="4">
        <v>0</v>
      </c>
      <c r="BO3" s="4">
        <v>0</v>
      </c>
      <c r="BP3" s="4">
        <f t="shared" ref="BP3:BP25" si="53">B3*0.00919377652050919</f>
        <v>40.287128712871272</v>
      </c>
      <c r="BQ3" s="4">
        <f t="shared" ref="BQ3:BQ25" si="54">B3*0.0066006600660066</f>
        <v>28.92409240924092</v>
      </c>
      <c r="BR3" s="4">
        <v>0</v>
      </c>
      <c r="BS3" s="4">
        <v>0</v>
      </c>
      <c r="BT3" s="4">
        <f t="shared" ref="BT3:BT25" si="55">B3*0.0155586987270156</f>
        <v>68.178217821782354</v>
      </c>
      <c r="BU3" s="4">
        <v>0</v>
      </c>
      <c r="BV3" s="4">
        <f t="shared" ref="BV3:BV25" si="56">B3*0.00282885431400283</f>
        <v>12.3960396039604</v>
      </c>
      <c r="BW3" s="4">
        <f t="shared" ref="BW3:BW25" si="57">B3*0.00141442715700141</f>
        <v>6.1980198019801787</v>
      </c>
      <c r="BX3" s="4">
        <f t="shared" ref="BX3:BX25" si="58">B3*0.016030174446016</f>
        <v>70.244224422442116</v>
      </c>
      <c r="BY3" s="4">
        <f t="shared" ref="BY3:BY25" si="59">B3*0.0110796793965111</f>
        <v>48.551155115511641</v>
      </c>
      <c r="BZ3" s="4">
        <f t="shared" ref="BZ3:BZ25" si="60">B3*0.016030174446016</f>
        <v>70.244224422442116</v>
      </c>
      <c r="CA3" s="4">
        <f t="shared" ref="CA3:CA25" si="61">B3*0.0143800094295144</f>
        <v>63.013201320132104</v>
      </c>
      <c r="CB3" s="4">
        <f t="shared" ref="CB3:CB25" si="62">B3*0.0167373880245167</f>
        <v>73.343234323432185</v>
      </c>
      <c r="CC3" s="4">
        <f t="shared" ref="CC3:CC25" si="63">B3*0.00919377652050919</f>
        <v>40.287128712871272</v>
      </c>
      <c r="CD3" s="4">
        <f t="shared" ref="CD3:CD25" si="64">B3*0.0306459217350306</f>
        <v>134.29042904290409</v>
      </c>
      <c r="CE3" s="4">
        <v>0</v>
      </c>
      <c r="CF3" s="4">
        <f t="shared" ref="CF3:CF25" si="65">B3*0.0127298444130127</f>
        <v>55.782178217821645</v>
      </c>
      <c r="CG3" s="4">
        <f t="shared" ref="CG3:CG25" si="66">B3*0.00471475719000472</f>
        <v>20.660066006600683</v>
      </c>
      <c r="CH3" s="4">
        <f t="shared" ref="CH3:CH25" si="67">B3*0.00259311645450259</f>
        <v>11.363036303630349</v>
      </c>
      <c r="CI3" s="4">
        <f t="shared" ref="CI3:CI25" si="68">B3*0.00565770862800566</f>
        <v>24.7920792079208</v>
      </c>
      <c r="CJ3" s="4">
        <f t="shared" ref="CJ3:CJ25" si="69">B3*0.00495049504950495</f>
        <v>21.693069306930688</v>
      </c>
      <c r="CK3" s="4">
        <v>0</v>
      </c>
      <c r="CL3" s="4">
        <f t="shared" ref="CL3:CL25" si="70">B3*0.0113154172560113</f>
        <v>49.584158415841515</v>
      </c>
      <c r="CM3" s="4">
        <v>0</v>
      </c>
      <c r="CN3" s="4">
        <f t="shared" ref="CN3:CN25" si="71">B3*0.0384252710985384</f>
        <v>168.37953795379525</v>
      </c>
      <c r="CO3" s="4">
        <f t="shared" ref="CO3:CO25" si="72">B3*0.00235737859500236</f>
        <v>10.330033003300342</v>
      </c>
      <c r="CP3" s="4">
        <f t="shared" ref="CP3:CP25" si="73">B3*0.0153229608675153</f>
        <v>67.145214521452047</v>
      </c>
      <c r="CQ3" s="4">
        <f t="shared" ref="CQ3:CQ25" si="74">B3*0.00282885431400283</f>
        <v>12.3960396039604</v>
      </c>
      <c r="CR3" s="4">
        <f t="shared" ref="CR3:CR25" si="75">B3*0.00707213578500707</f>
        <v>30.99009900990098</v>
      </c>
      <c r="CS3" s="4">
        <f t="shared" ref="CS3:CS25" si="76">B3*0.0099009900990099</f>
        <v>43.386138613861377</v>
      </c>
      <c r="CT3" s="4">
        <f t="shared" ref="CT3:CT25" si="77">B3*0.00895803866100896</f>
        <v>39.254125412541256</v>
      </c>
      <c r="CU3" s="4">
        <f t="shared" ref="CU3:CU25" si="78">B3*0.00353606789250354</f>
        <v>15.495049504950513</v>
      </c>
      <c r="CV3" s="4">
        <f t="shared" ref="CV3:CV25" si="79">B3*0.00801508722300802</f>
        <v>35.122112211221143</v>
      </c>
      <c r="CW3" s="4">
        <f t="shared" ref="CW3:CW25" si="80">B3*0.0099009900990099</f>
        <v>43.386138613861377</v>
      </c>
      <c r="CX3" s="4">
        <f t="shared" ref="CX3:CX25" si="81">B3*0.00872230080150872</f>
        <v>38.221122112211205</v>
      </c>
      <c r="CY3" s="4">
        <f t="shared" ref="CY3:CY25" si="82">B3*0.00518623290900519</f>
        <v>22.726072607260743</v>
      </c>
      <c r="CZ3" s="4">
        <f t="shared" ref="CZ3:CZ25" si="83">B3*0.00117868929750118</f>
        <v>5.1650165016501708</v>
      </c>
      <c r="DA3" s="4">
        <f t="shared" ref="DA3:DA25" si="84">B3*0.00542197076850542</f>
        <v>23.759075907590748</v>
      </c>
      <c r="DB3" s="4">
        <f t="shared" ref="DB3:DB25" si="85">B3*0.00895803866100896</f>
        <v>39.254125412541256</v>
      </c>
      <c r="DC3" s="4">
        <f t="shared" ref="DC3:DC25" si="86">B3*0.00730787364450731</f>
        <v>32.023102310231032</v>
      </c>
      <c r="DD3" s="4">
        <f t="shared" ref="DD3:DD25" si="87">B3*0.0101367279585101</f>
        <v>44.419141914191258</v>
      </c>
      <c r="DE3" s="4">
        <f t="shared" ref="DE3:DE25" si="88">B3*0.0117868929750118</f>
        <v>51.65016501650171</v>
      </c>
      <c r="DF3" s="4">
        <f t="shared" ref="DF3:DF25" si="89">B3*0.000471475719000471</f>
        <v>2.0660066006600637</v>
      </c>
      <c r="DG3" s="4">
        <f t="shared" ref="DG3:DG25" si="90">B3*0.00188590287600189</f>
        <v>8.2640264026402814</v>
      </c>
      <c r="DH3" s="4">
        <f t="shared" ref="DH3:DH25" si="91">B3*0.00919377652050919</f>
        <v>40.287128712871272</v>
      </c>
      <c r="DI3" s="4">
        <v>0</v>
      </c>
      <c r="DJ3" s="4">
        <f t="shared" ref="DJ3:DJ25" si="92">B3*0.016030174446016</f>
        <v>70.244224422442116</v>
      </c>
      <c r="DK3" s="4">
        <f t="shared" ref="DK3:DK25" si="93">B3*0.00141442715700141</f>
        <v>6.1980198019801787</v>
      </c>
      <c r="DL3" s="4">
        <f t="shared" ref="DL3:DL25" si="94">B3*0.00188590287600189</f>
        <v>8.2640264026402814</v>
      </c>
      <c r="DM3" s="4">
        <f t="shared" ref="DM3:DM25" si="95">B3*0.00518623290900519</f>
        <v>22.726072607260743</v>
      </c>
      <c r="DN3" s="4">
        <f t="shared" ref="DN3:DN25" si="96">B3*0.0433757661480434</f>
        <v>190.07260726072619</v>
      </c>
      <c r="DO3" s="4">
        <f t="shared" ref="DO3:DO25" si="97">B3*0.00471475719000472</f>
        <v>20.660066006600683</v>
      </c>
      <c r="DP3" s="4">
        <f t="shared" ref="DP3:DP25" si="98">B3*0.00777934936350778</f>
        <v>34.089108910891092</v>
      </c>
    </row>
    <row r="4" spans="1:120" x14ac:dyDescent="0.35">
      <c r="A4" s="3">
        <v>3</v>
      </c>
      <c r="B4" s="3">
        <v>4251</v>
      </c>
      <c r="C4" s="3">
        <f t="shared" si="0"/>
        <v>51.108203677510517</v>
      </c>
      <c r="D4" s="4">
        <f t="shared" si="1"/>
        <v>20.042432814710065</v>
      </c>
      <c r="E4" s="4">
        <f t="shared" si="2"/>
        <v>39.08274398868457</v>
      </c>
      <c r="F4" s="4">
        <f t="shared" si="3"/>
        <v>39.08274398868457</v>
      </c>
      <c r="G4" s="4">
        <v>0</v>
      </c>
      <c r="H4" s="4">
        <f t="shared" si="4"/>
        <v>52.110325318246282</v>
      </c>
      <c r="I4" s="4">
        <f t="shared" si="5"/>
        <v>19.040311173974544</v>
      </c>
      <c r="J4" s="4">
        <f t="shared" si="6"/>
        <v>28.059405940594058</v>
      </c>
      <c r="K4" s="4">
        <v>0</v>
      </c>
      <c r="L4" s="4">
        <v>0</v>
      </c>
      <c r="M4" s="4">
        <f t="shared" si="7"/>
        <v>70.148514851485146</v>
      </c>
      <c r="N4" s="4">
        <f t="shared" si="8"/>
        <v>47.099717114568691</v>
      </c>
      <c r="O4" s="4">
        <f t="shared" si="9"/>
        <v>34.072135785007099</v>
      </c>
      <c r="P4" s="4">
        <f t="shared" si="10"/>
        <v>14.029702970297029</v>
      </c>
      <c r="Q4" s="4">
        <f t="shared" si="11"/>
        <v>90.190947666195115</v>
      </c>
      <c r="R4" s="4">
        <f t="shared" si="12"/>
        <v>25.053041018387539</v>
      </c>
      <c r="S4" s="4">
        <f t="shared" si="13"/>
        <v>11.02333804809051</v>
      </c>
      <c r="T4" s="4">
        <f t="shared" si="14"/>
        <v>60.127298444129941</v>
      </c>
      <c r="U4" s="4">
        <f t="shared" si="15"/>
        <v>45.095473833097557</v>
      </c>
      <c r="V4" s="4">
        <f t="shared" si="16"/>
        <v>18.038189533239024</v>
      </c>
      <c r="W4" s="4">
        <f t="shared" si="17"/>
        <v>14.029702970297029</v>
      </c>
      <c r="X4" s="4">
        <f t="shared" si="18"/>
        <v>10.021216407355032</v>
      </c>
      <c r="Y4" s="4">
        <f t="shared" si="19"/>
        <v>7.0148514851485144</v>
      </c>
      <c r="Z4" s="4">
        <f t="shared" si="20"/>
        <v>13.027581329561508</v>
      </c>
      <c r="AA4" s="4">
        <v>0</v>
      </c>
      <c r="AB4" s="4">
        <v>0</v>
      </c>
      <c r="AC4" s="4">
        <f t="shared" si="21"/>
        <v>71.150636492220485</v>
      </c>
      <c r="AD4" s="4">
        <f t="shared" si="22"/>
        <v>17.036067892503549</v>
      </c>
      <c r="AE4" s="4">
        <f t="shared" si="23"/>
        <v>24.050919377652058</v>
      </c>
      <c r="AF4" s="4">
        <v>0</v>
      </c>
      <c r="AG4" s="4">
        <f t="shared" si="24"/>
        <v>43.091230551626431</v>
      </c>
      <c r="AH4" s="4">
        <f t="shared" si="25"/>
        <v>59.125176803394588</v>
      </c>
      <c r="AI4" s="4">
        <f t="shared" si="26"/>
        <v>23.048797736916541</v>
      </c>
      <c r="AJ4" s="4">
        <f t="shared" si="27"/>
        <v>59.125176803394588</v>
      </c>
      <c r="AK4" s="4">
        <f t="shared" si="28"/>
        <v>33.070014144271575</v>
      </c>
      <c r="AL4" s="4">
        <f t="shared" si="29"/>
        <v>31.065770862800573</v>
      </c>
      <c r="AM4" s="4">
        <v>0</v>
      </c>
      <c r="AN4" s="4">
        <v>0</v>
      </c>
      <c r="AO4" s="4">
        <f t="shared" si="30"/>
        <v>27.057284299858576</v>
      </c>
      <c r="AP4" s="4">
        <f t="shared" si="31"/>
        <v>66.14002828854332</v>
      </c>
      <c r="AQ4" s="4">
        <f t="shared" si="32"/>
        <v>37.078500707213564</v>
      </c>
      <c r="AR4" s="4">
        <f t="shared" si="33"/>
        <v>96.203677510608074</v>
      </c>
      <c r="AS4" s="4">
        <f t="shared" si="34"/>
        <v>18.038189533239024</v>
      </c>
      <c r="AT4" s="4">
        <f t="shared" si="35"/>
        <v>16.033946251768025</v>
      </c>
      <c r="AU4" s="4">
        <f t="shared" si="36"/>
        <v>53.112446958981636</v>
      </c>
      <c r="AV4" s="4">
        <f t="shared" si="37"/>
        <v>28.059405940594058</v>
      </c>
      <c r="AW4" s="4">
        <f t="shared" si="38"/>
        <v>34.072135785007099</v>
      </c>
      <c r="AX4" s="4">
        <f t="shared" si="39"/>
        <v>20.042432814710065</v>
      </c>
      <c r="AY4" s="4">
        <f t="shared" si="40"/>
        <v>87.184582743988642</v>
      </c>
      <c r="AZ4" s="4">
        <f t="shared" si="41"/>
        <v>17.036067892503549</v>
      </c>
      <c r="BA4" s="4">
        <f t="shared" si="42"/>
        <v>17.036067892503549</v>
      </c>
      <c r="BB4" s="4">
        <f t="shared" si="43"/>
        <v>18.038189533239024</v>
      </c>
      <c r="BC4" s="4">
        <f t="shared" si="44"/>
        <v>23.048797736916541</v>
      </c>
      <c r="BD4" s="4">
        <f t="shared" si="45"/>
        <v>113.23974540311157</v>
      </c>
      <c r="BE4" s="4">
        <f t="shared" si="46"/>
        <v>63.13366336633684</v>
      </c>
      <c r="BF4" s="4">
        <f t="shared" si="47"/>
        <v>84.178217821782169</v>
      </c>
      <c r="BG4" s="4">
        <f t="shared" si="48"/>
        <v>12.025459688826029</v>
      </c>
      <c r="BH4" s="4">
        <f t="shared" si="49"/>
        <v>12.025459688826029</v>
      </c>
      <c r="BI4" s="4">
        <f t="shared" si="50"/>
        <v>277.58769448373408</v>
      </c>
      <c r="BJ4" s="4">
        <f t="shared" si="51"/>
        <v>78.165487977369224</v>
      </c>
      <c r="BK4" s="4">
        <v>0</v>
      </c>
      <c r="BL4" s="4">
        <f t="shared" si="52"/>
        <v>77.163366336633871</v>
      </c>
      <c r="BM4" s="4">
        <v>0</v>
      </c>
      <c r="BN4" s="4">
        <v>0</v>
      </c>
      <c r="BO4" s="4">
        <v>0</v>
      </c>
      <c r="BP4" s="4">
        <f t="shared" si="53"/>
        <v>39.08274398868457</v>
      </c>
      <c r="BQ4" s="4">
        <f t="shared" si="54"/>
        <v>28.059405940594058</v>
      </c>
      <c r="BR4" s="4">
        <v>0</v>
      </c>
      <c r="BS4" s="4">
        <v>0</v>
      </c>
      <c r="BT4" s="4">
        <f t="shared" si="55"/>
        <v>66.14002828854332</v>
      </c>
      <c r="BU4" s="4">
        <v>0</v>
      </c>
      <c r="BV4" s="4">
        <f t="shared" si="56"/>
        <v>12.025459688826029</v>
      </c>
      <c r="BW4" s="4">
        <f t="shared" si="57"/>
        <v>6.012729844412994</v>
      </c>
      <c r="BX4" s="4">
        <f t="shared" si="58"/>
        <v>68.144271570014013</v>
      </c>
      <c r="BY4" s="4">
        <f t="shared" si="59"/>
        <v>47.099717114568691</v>
      </c>
      <c r="BZ4" s="4">
        <f t="shared" si="60"/>
        <v>68.144271570014013</v>
      </c>
      <c r="CA4" s="4">
        <f t="shared" si="61"/>
        <v>61.129420084865714</v>
      </c>
      <c r="CB4" s="4">
        <f t="shared" si="62"/>
        <v>71.150636492220485</v>
      </c>
      <c r="CC4" s="4">
        <f t="shared" si="63"/>
        <v>39.08274398868457</v>
      </c>
      <c r="CD4" s="4">
        <f t="shared" si="64"/>
        <v>130.27581329561508</v>
      </c>
      <c r="CE4" s="4">
        <v>0</v>
      </c>
      <c r="CF4" s="4">
        <f t="shared" si="65"/>
        <v>54.114568599716982</v>
      </c>
      <c r="CG4" s="4">
        <f t="shared" si="66"/>
        <v>20.042432814710065</v>
      </c>
      <c r="CH4" s="4">
        <f t="shared" si="67"/>
        <v>11.02333804809051</v>
      </c>
      <c r="CI4" s="4">
        <f t="shared" si="68"/>
        <v>24.050919377652058</v>
      </c>
      <c r="CJ4" s="4">
        <f t="shared" si="69"/>
        <v>21.044554455445542</v>
      </c>
      <c r="CK4" s="4">
        <v>0</v>
      </c>
      <c r="CL4" s="4">
        <f t="shared" si="70"/>
        <v>48.101838755304037</v>
      </c>
      <c r="CM4" s="4">
        <v>0</v>
      </c>
      <c r="CN4" s="4">
        <f t="shared" si="71"/>
        <v>163.34582743988673</v>
      </c>
      <c r="CO4" s="4">
        <f t="shared" si="72"/>
        <v>10.021216407355032</v>
      </c>
      <c r="CP4" s="4">
        <f t="shared" si="73"/>
        <v>65.13790664780754</v>
      </c>
      <c r="CQ4" s="4">
        <f t="shared" si="74"/>
        <v>12.025459688826029</v>
      </c>
      <c r="CR4" s="4">
        <f t="shared" si="75"/>
        <v>30.063649222065056</v>
      </c>
      <c r="CS4" s="4">
        <f t="shared" si="76"/>
        <v>42.089108910891085</v>
      </c>
      <c r="CT4" s="4">
        <f t="shared" si="77"/>
        <v>38.080622347949088</v>
      </c>
      <c r="CU4" s="4">
        <f t="shared" si="78"/>
        <v>15.031824611032549</v>
      </c>
      <c r="CV4" s="4">
        <f t="shared" si="79"/>
        <v>34.072135785007099</v>
      </c>
      <c r="CW4" s="4">
        <f t="shared" si="80"/>
        <v>42.089108910891085</v>
      </c>
      <c r="CX4" s="4">
        <f t="shared" si="81"/>
        <v>37.078500707213564</v>
      </c>
      <c r="CY4" s="4">
        <f t="shared" si="82"/>
        <v>22.046676096181063</v>
      </c>
      <c r="CZ4" s="4">
        <f t="shared" si="83"/>
        <v>5.0106082036775161</v>
      </c>
      <c r="DA4" s="4">
        <f t="shared" si="84"/>
        <v>23.048797736916541</v>
      </c>
      <c r="DB4" s="4">
        <f t="shared" si="85"/>
        <v>38.080622347949088</v>
      </c>
      <c r="DC4" s="4">
        <f t="shared" si="86"/>
        <v>31.065770862800573</v>
      </c>
      <c r="DD4" s="4">
        <f t="shared" si="87"/>
        <v>43.091230551626431</v>
      </c>
      <c r="DE4" s="4">
        <f t="shared" si="88"/>
        <v>50.106082036775163</v>
      </c>
      <c r="DF4" s="4">
        <f t="shared" si="89"/>
        <v>2.0042432814710023</v>
      </c>
      <c r="DG4" s="4">
        <f t="shared" si="90"/>
        <v>8.016973125884034</v>
      </c>
      <c r="DH4" s="4">
        <f t="shared" si="91"/>
        <v>39.08274398868457</v>
      </c>
      <c r="DI4" s="4">
        <v>0</v>
      </c>
      <c r="DJ4" s="4">
        <f t="shared" si="92"/>
        <v>68.144271570014013</v>
      </c>
      <c r="DK4" s="4">
        <f t="shared" si="93"/>
        <v>6.012729844412994</v>
      </c>
      <c r="DL4" s="4">
        <f t="shared" si="94"/>
        <v>8.016973125884034</v>
      </c>
      <c r="DM4" s="4">
        <f t="shared" si="95"/>
        <v>22.046676096181063</v>
      </c>
      <c r="DN4" s="4">
        <f t="shared" si="96"/>
        <v>184.3903818953325</v>
      </c>
      <c r="DO4" s="4">
        <f t="shared" si="97"/>
        <v>20.042432814710065</v>
      </c>
      <c r="DP4" s="4">
        <f t="shared" si="98"/>
        <v>33.070014144271575</v>
      </c>
    </row>
    <row r="5" spans="1:120" x14ac:dyDescent="0.35">
      <c r="A5" s="3">
        <v>4</v>
      </c>
      <c r="B5" s="3">
        <v>4256</v>
      </c>
      <c r="C5" s="3">
        <f t="shared" si="0"/>
        <v>51.168316831683072</v>
      </c>
      <c r="D5" s="4">
        <f t="shared" si="1"/>
        <v>20.066006600660089</v>
      </c>
      <c r="E5" s="4">
        <f t="shared" si="2"/>
        <v>39.128712871287114</v>
      </c>
      <c r="F5" s="4">
        <f t="shared" si="3"/>
        <v>39.128712871287114</v>
      </c>
      <c r="G5" s="4">
        <v>0</v>
      </c>
      <c r="H5" s="4">
        <f t="shared" si="4"/>
        <v>52.171617161716348</v>
      </c>
      <c r="I5" s="4">
        <f t="shared" si="5"/>
        <v>19.062706270627064</v>
      </c>
      <c r="J5" s="4">
        <f t="shared" si="6"/>
        <v>28.092409240924088</v>
      </c>
      <c r="K5" s="4">
        <v>0</v>
      </c>
      <c r="L5" s="4">
        <v>0</v>
      </c>
      <c r="M5" s="4">
        <f t="shared" si="7"/>
        <v>70.231023102310218</v>
      </c>
      <c r="N5" s="4">
        <f t="shared" si="8"/>
        <v>47.155115511551244</v>
      </c>
      <c r="O5" s="4">
        <f t="shared" si="9"/>
        <v>34.112211221122138</v>
      </c>
      <c r="P5" s="4">
        <f t="shared" si="10"/>
        <v>14.046204620462044</v>
      </c>
      <c r="Q5" s="4">
        <f t="shared" si="11"/>
        <v>90.297029702970221</v>
      </c>
      <c r="R5" s="4">
        <f t="shared" si="12"/>
        <v>25.082508250825068</v>
      </c>
      <c r="S5" s="4">
        <f t="shared" si="13"/>
        <v>11.036303630363022</v>
      </c>
      <c r="T5" s="4">
        <f t="shared" si="14"/>
        <v>60.19801980198001</v>
      </c>
      <c r="U5" s="4">
        <f t="shared" si="15"/>
        <v>45.14851485148511</v>
      </c>
      <c r="V5" s="4">
        <f t="shared" si="16"/>
        <v>18.059405940594043</v>
      </c>
      <c r="W5" s="4">
        <f t="shared" si="17"/>
        <v>14.046204620462044</v>
      </c>
      <c r="X5" s="4">
        <f t="shared" si="18"/>
        <v>10.033003300330044</v>
      </c>
      <c r="Y5" s="4">
        <f t="shared" si="19"/>
        <v>7.0231023102310219</v>
      </c>
      <c r="Z5" s="4">
        <f t="shared" si="20"/>
        <v>13.042904290429023</v>
      </c>
      <c r="AA5" s="4">
        <v>0</v>
      </c>
      <c r="AB5" s="4">
        <v>0</v>
      </c>
      <c r="AC5" s="4">
        <f t="shared" si="21"/>
        <v>71.234323432343075</v>
      </c>
      <c r="AD5" s="4">
        <f t="shared" si="22"/>
        <v>17.056105610561069</v>
      </c>
      <c r="AE5" s="4">
        <f t="shared" si="23"/>
        <v>24.079207920792086</v>
      </c>
      <c r="AF5" s="4">
        <v>0</v>
      </c>
      <c r="AG5" s="4">
        <f t="shared" si="24"/>
        <v>43.141914191418984</v>
      </c>
      <c r="AH5" s="4">
        <f t="shared" si="25"/>
        <v>59.19471947194716</v>
      </c>
      <c r="AI5" s="4">
        <f t="shared" si="26"/>
        <v>23.075907590759066</v>
      </c>
      <c r="AJ5" s="4">
        <f t="shared" si="27"/>
        <v>59.19471947194716</v>
      </c>
      <c r="AK5" s="4">
        <f t="shared" si="28"/>
        <v>33.10891089108911</v>
      </c>
      <c r="AL5" s="4">
        <f t="shared" si="29"/>
        <v>31.102310231023111</v>
      </c>
      <c r="AM5" s="4">
        <v>0</v>
      </c>
      <c r="AN5" s="4">
        <v>0</v>
      </c>
      <c r="AO5" s="4">
        <f t="shared" si="30"/>
        <v>27.08910891089111</v>
      </c>
      <c r="AP5" s="4">
        <f t="shared" si="31"/>
        <v>66.21782178217839</v>
      </c>
      <c r="AQ5" s="4">
        <f t="shared" si="32"/>
        <v>37.122112211221108</v>
      </c>
      <c r="AR5" s="4">
        <f t="shared" si="33"/>
        <v>96.316831683168189</v>
      </c>
      <c r="AS5" s="4">
        <f t="shared" si="34"/>
        <v>18.059405940594043</v>
      </c>
      <c r="AT5" s="4">
        <f t="shared" si="35"/>
        <v>16.052805280528045</v>
      </c>
      <c r="AU5" s="4">
        <f t="shared" si="36"/>
        <v>53.174917491749198</v>
      </c>
      <c r="AV5" s="4">
        <f t="shared" si="37"/>
        <v>28.092409240924088</v>
      </c>
      <c r="AW5" s="4">
        <f t="shared" si="38"/>
        <v>34.112211221122138</v>
      </c>
      <c r="AX5" s="4">
        <f t="shared" si="39"/>
        <v>20.066006600660089</v>
      </c>
      <c r="AY5" s="4">
        <f t="shared" si="40"/>
        <v>87.287128712871251</v>
      </c>
      <c r="AZ5" s="4">
        <f t="shared" si="41"/>
        <v>17.056105610561069</v>
      </c>
      <c r="BA5" s="4">
        <f t="shared" si="42"/>
        <v>17.056105610561069</v>
      </c>
      <c r="BB5" s="4">
        <f t="shared" si="43"/>
        <v>18.059405940594043</v>
      </c>
      <c r="BC5" s="4">
        <f t="shared" si="44"/>
        <v>23.075907590759066</v>
      </c>
      <c r="BD5" s="4">
        <f t="shared" si="45"/>
        <v>113.37293729372921</v>
      </c>
      <c r="BE5" s="4">
        <f t="shared" si="46"/>
        <v>63.207920792079413</v>
      </c>
      <c r="BF5" s="4">
        <f t="shared" si="47"/>
        <v>84.277227722772267</v>
      </c>
      <c r="BG5" s="4">
        <f t="shared" si="48"/>
        <v>12.039603960396043</v>
      </c>
      <c r="BH5" s="4">
        <f t="shared" si="49"/>
        <v>12.039603960396043</v>
      </c>
      <c r="BI5" s="4">
        <f t="shared" si="50"/>
        <v>277.9141914191419</v>
      </c>
      <c r="BJ5" s="4">
        <f t="shared" si="51"/>
        <v>78.257425742574313</v>
      </c>
      <c r="BK5" s="4">
        <v>0</v>
      </c>
      <c r="BL5" s="4">
        <f t="shared" si="52"/>
        <v>77.25412541254147</v>
      </c>
      <c r="BM5" s="4">
        <v>0</v>
      </c>
      <c r="BN5" s="4">
        <v>0</v>
      </c>
      <c r="BO5" s="4">
        <v>0</v>
      </c>
      <c r="BP5" s="4">
        <f t="shared" si="53"/>
        <v>39.128712871287114</v>
      </c>
      <c r="BQ5" s="4">
        <f t="shared" si="54"/>
        <v>28.092409240924088</v>
      </c>
      <c r="BR5" s="4">
        <v>0</v>
      </c>
      <c r="BS5" s="4">
        <v>0</v>
      </c>
      <c r="BT5" s="4">
        <f t="shared" si="55"/>
        <v>66.21782178217839</v>
      </c>
      <c r="BU5" s="4">
        <v>0</v>
      </c>
      <c r="BV5" s="4">
        <f t="shared" si="56"/>
        <v>12.039603960396043</v>
      </c>
      <c r="BW5" s="4">
        <f t="shared" si="57"/>
        <v>6.0198019801980003</v>
      </c>
      <c r="BX5" s="4">
        <f t="shared" si="58"/>
        <v>68.224422442244091</v>
      </c>
      <c r="BY5" s="4">
        <f t="shared" si="59"/>
        <v>47.155115511551244</v>
      </c>
      <c r="BZ5" s="4">
        <f t="shared" si="60"/>
        <v>68.224422442244091</v>
      </c>
      <c r="CA5" s="4">
        <f t="shared" si="61"/>
        <v>61.201320132013286</v>
      </c>
      <c r="CB5" s="4">
        <f t="shared" si="62"/>
        <v>71.234323432343075</v>
      </c>
      <c r="CC5" s="4">
        <f t="shared" si="63"/>
        <v>39.128712871287114</v>
      </c>
      <c r="CD5" s="4">
        <f t="shared" si="64"/>
        <v>130.42904290429021</v>
      </c>
      <c r="CE5" s="4">
        <v>0</v>
      </c>
      <c r="CF5" s="4">
        <f t="shared" si="65"/>
        <v>54.178217821782049</v>
      </c>
      <c r="CG5" s="4">
        <f t="shared" si="66"/>
        <v>20.066006600660089</v>
      </c>
      <c r="CH5" s="4">
        <f t="shared" si="67"/>
        <v>11.036303630363022</v>
      </c>
      <c r="CI5" s="4">
        <f t="shared" si="68"/>
        <v>24.079207920792086</v>
      </c>
      <c r="CJ5" s="4">
        <f t="shared" si="69"/>
        <v>21.069306930693067</v>
      </c>
      <c r="CK5" s="4">
        <v>0</v>
      </c>
      <c r="CL5" s="4">
        <f t="shared" si="70"/>
        <v>48.158415841584095</v>
      </c>
      <c r="CM5" s="4">
        <v>0</v>
      </c>
      <c r="CN5" s="4">
        <f t="shared" si="71"/>
        <v>163.53795379537942</v>
      </c>
      <c r="CO5" s="4">
        <f t="shared" si="72"/>
        <v>10.033003300330044</v>
      </c>
      <c r="CP5" s="4">
        <f t="shared" si="73"/>
        <v>65.214521452145107</v>
      </c>
      <c r="CQ5" s="4">
        <f t="shared" si="74"/>
        <v>12.039603960396043</v>
      </c>
      <c r="CR5" s="4">
        <f t="shared" si="75"/>
        <v>30.09900990099009</v>
      </c>
      <c r="CS5" s="4">
        <f t="shared" si="76"/>
        <v>42.138613861386133</v>
      </c>
      <c r="CT5" s="4">
        <f t="shared" si="77"/>
        <v>38.125412541254128</v>
      </c>
      <c r="CU5" s="4">
        <f t="shared" si="78"/>
        <v>15.049504950495066</v>
      </c>
      <c r="CV5" s="4">
        <f t="shared" si="79"/>
        <v>34.112211221122138</v>
      </c>
      <c r="CW5" s="4">
        <f t="shared" si="80"/>
        <v>42.138613861386133</v>
      </c>
      <c r="CX5" s="4">
        <f t="shared" si="81"/>
        <v>37.122112211221108</v>
      </c>
      <c r="CY5" s="4">
        <f t="shared" si="82"/>
        <v>22.072607260726091</v>
      </c>
      <c r="CZ5" s="4">
        <f t="shared" si="83"/>
        <v>5.0165016501650221</v>
      </c>
      <c r="DA5" s="4">
        <f t="shared" si="84"/>
        <v>23.075907590759066</v>
      </c>
      <c r="DB5" s="4">
        <f t="shared" si="85"/>
        <v>38.125412541254128</v>
      </c>
      <c r="DC5" s="4">
        <f t="shared" si="86"/>
        <v>31.102310231023111</v>
      </c>
      <c r="DD5" s="4">
        <f t="shared" si="87"/>
        <v>43.141914191418984</v>
      </c>
      <c r="DE5" s="4">
        <f t="shared" si="88"/>
        <v>50.165016501650221</v>
      </c>
      <c r="DF5" s="4">
        <f t="shared" si="89"/>
        <v>2.0066006600660047</v>
      </c>
      <c r="DG5" s="4">
        <f t="shared" si="90"/>
        <v>8.0264026402640436</v>
      </c>
      <c r="DH5" s="4">
        <f t="shared" si="91"/>
        <v>39.128712871287114</v>
      </c>
      <c r="DI5" s="4">
        <v>0</v>
      </c>
      <c r="DJ5" s="4">
        <f t="shared" si="92"/>
        <v>68.224422442244091</v>
      </c>
      <c r="DK5" s="4">
        <f t="shared" si="93"/>
        <v>6.0198019801980003</v>
      </c>
      <c r="DL5" s="4">
        <f t="shared" si="94"/>
        <v>8.0264026402640436</v>
      </c>
      <c r="DM5" s="4">
        <f t="shared" si="95"/>
        <v>22.072607260726091</v>
      </c>
      <c r="DN5" s="4">
        <f t="shared" si="96"/>
        <v>184.60726072607272</v>
      </c>
      <c r="DO5" s="4">
        <f t="shared" si="97"/>
        <v>20.066006600660089</v>
      </c>
      <c r="DP5" s="4">
        <f t="shared" si="98"/>
        <v>33.10891089108911</v>
      </c>
    </row>
    <row r="6" spans="1:120" x14ac:dyDescent="0.35">
      <c r="A6" s="3">
        <v>5</v>
      </c>
      <c r="B6" s="3">
        <v>4520</v>
      </c>
      <c r="C6" s="3">
        <f t="shared" si="0"/>
        <v>54.342291371994243</v>
      </c>
      <c r="D6" s="4">
        <f t="shared" si="1"/>
        <v>21.310702498821335</v>
      </c>
      <c r="E6" s="4">
        <f t="shared" si="2"/>
        <v>41.555869872701543</v>
      </c>
      <c r="F6" s="4">
        <f t="shared" si="3"/>
        <v>41.555869872701543</v>
      </c>
      <c r="G6" s="4">
        <v>0</v>
      </c>
      <c r="H6" s="4">
        <f t="shared" si="4"/>
        <v>55.407826496935591</v>
      </c>
      <c r="I6" s="4">
        <f t="shared" si="5"/>
        <v>20.245167373880246</v>
      </c>
      <c r="J6" s="4">
        <f t="shared" si="6"/>
        <v>29.834983498349832</v>
      </c>
      <c r="K6" s="4">
        <v>0</v>
      </c>
      <c r="L6" s="4">
        <v>0</v>
      </c>
      <c r="M6" s="4">
        <f t="shared" si="7"/>
        <v>74.587458745874585</v>
      </c>
      <c r="N6" s="4">
        <f t="shared" si="8"/>
        <v>50.08015087223017</v>
      </c>
      <c r="O6" s="4">
        <f t="shared" si="9"/>
        <v>36.228194247996257</v>
      </c>
      <c r="P6" s="4">
        <f t="shared" si="10"/>
        <v>14.917491749174916</v>
      </c>
      <c r="Q6" s="4">
        <f t="shared" si="11"/>
        <v>95.898161244695828</v>
      </c>
      <c r="R6" s="4">
        <f t="shared" si="12"/>
        <v>26.638378123526621</v>
      </c>
      <c r="S6" s="4">
        <f t="shared" si="13"/>
        <v>11.720886374351707</v>
      </c>
      <c r="T6" s="4">
        <f t="shared" si="14"/>
        <v>63.932107496463729</v>
      </c>
      <c r="U6" s="4">
        <f t="shared" si="15"/>
        <v>47.949080622347914</v>
      </c>
      <c r="V6" s="4">
        <f t="shared" si="16"/>
        <v>19.179632248939164</v>
      </c>
      <c r="W6" s="4">
        <f t="shared" si="17"/>
        <v>14.917491749174916</v>
      </c>
      <c r="X6" s="4">
        <f t="shared" si="18"/>
        <v>10.655351249410668</v>
      </c>
      <c r="Y6" s="4">
        <f t="shared" si="19"/>
        <v>7.458745874587458</v>
      </c>
      <c r="Z6" s="4">
        <f t="shared" si="20"/>
        <v>13.851956624233832</v>
      </c>
      <c r="AA6" s="4">
        <v>0</v>
      </c>
      <c r="AB6" s="4">
        <v>0</v>
      </c>
      <c r="AC6" s="4">
        <f t="shared" si="21"/>
        <v>75.652993870815479</v>
      </c>
      <c r="AD6" s="4">
        <f t="shared" si="22"/>
        <v>18.114097123998128</v>
      </c>
      <c r="AE6" s="4">
        <f t="shared" si="23"/>
        <v>25.572842998585582</v>
      </c>
      <c r="AF6" s="4">
        <v>0</v>
      </c>
      <c r="AG6" s="4">
        <f t="shared" si="24"/>
        <v>45.81801037246565</v>
      </c>
      <c r="AH6" s="4">
        <f t="shared" si="25"/>
        <v>62.866572371522828</v>
      </c>
      <c r="AI6" s="4">
        <f t="shared" si="26"/>
        <v>24.507307873644496</v>
      </c>
      <c r="AJ6" s="4">
        <f t="shared" si="27"/>
        <v>62.866572371522828</v>
      </c>
      <c r="AK6" s="4">
        <f t="shared" si="28"/>
        <v>35.162659123055164</v>
      </c>
      <c r="AL6" s="4">
        <f t="shared" si="29"/>
        <v>33.031588873173042</v>
      </c>
      <c r="AM6" s="4">
        <v>0</v>
      </c>
      <c r="AN6" s="4">
        <v>0</v>
      </c>
      <c r="AO6" s="4">
        <f t="shared" si="30"/>
        <v>28.769448373408789</v>
      </c>
      <c r="AP6" s="4">
        <f t="shared" si="31"/>
        <v>70.325318246110513</v>
      </c>
      <c r="AQ6" s="4">
        <f t="shared" si="32"/>
        <v>39.424799622819414</v>
      </c>
      <c r="AR6" s="4">
        <f t="shared" si="33"/>
        <v>102.29137199434216</v>
      </c>
      <c r="AS6" s="4">
        <f t="shared" si="34"/>
        <v>19.179632248939164</v>
      </c>
      <c r="AT6" s="4">
        <f t="shared" si="35"/>
        <v>17.048561999057039</v>
      </c>
      <c r="AU6" s="4">
        <f t="shared" si="36"/>
        <v>56.473361621876499</v>
      </c>
      <c r="AV6" s="4">
        <f t="shared" si="37"/>
        <v>29.834983498349832</v>
      </c>
      <c r="AW6" s="4">
        <f t="shared" si="38"/>
        <v>36.228194247996257</v>
      </c>
      <c r="AX6" s="4">
        <f t="shared" si="39"/>
        <v>21.310702498821335</v>
      </c>
      <c r="AY6" s="4">
        <f t="shared" si="40"/>
        <v>92.701555869872649</v>
      </c>
      <c r="AZ6" s="4">
        <f t="shared" si="41"/>
        <v>18.114097123998128</v>
      </c>
      <c r="BA6" s="4">
        <f t="shared" si="42"/>
        <v>18.114097123998128</v>
      </c>
      <c r="BB6" s="4">
        <f t="shared" si="43"/>
        <v>19.179632248939164</v>
      </c>
      <c r="BC6" s="4">
        <f t="shared" si="44"/>
        <v>24.507307873644496</v>
      </c>
      <c r="BD6" s="4">
        <f t="shared" si="45"/>
        <v>120.40546911834024</v>
      </c>
      <c r="BE6" s="4">
        <f t="shared" si="46"/>
        <v>67.128712871287348</v>
      </c>
      <c r="BF6" s="4">
        <f t="shared" si="47"/>
        <v>89.504950495049485</v>
      </c>
      <c r="BG6" s="4">
        <f t="shared" si="48"/>
        <v>12.786421499292791</v>
      </c>
      <c r="BH6" s="4">
        <f t="shared" si="49"/>
        <v>12.786421499292791</v>
      </c>
      <c r="BI6" s="4">
        <f t="shared" si="50"/>
        <v>295.15322960867513</v>
      </c>
      <c r="BJ6" s="4">
        <f t="shared" si="51"/>
        <v>83.11173974540317</v>
      </c>
      <c r="BK6" s="4">
        <v>0</v>
      </c>
      <c r="BL6" s="4">
        <f t="shared" si="52"/>
        <v>82.046204620462277</v>
      </c>
      <c r="BM6" s="4">
        <v>0</v>
      </c>
      <c r="BN6" s="4">
        <v>0</v>
      </c>
      <c r="BO6" s="4">
        <v>0</v>
      </c>
      <c r="BP6" s="4">
        <f t="shared" si="53"/>
        <v>41.555869872701543</v>
      </c>
      <c r="BQ6" s="4">
        <f t="shared" si="54"/>
        <v>29.834983498349832</v>
      </c>
      <c r="BR6" s="4">
        <v>0</v>
      </c>
      <c r="BS6" s="4">
        <v>0</v>
      </c>
      <c r="BT6" s="4">
        <f t="shared" si="55"/>
        <v>70.325318246110513</v>
      </c>
      <c r="BU6" s="4">
        <v>0</v>
      </c>
      <c r="BV6" s="4">
        <f t="shared" si="56"/>
        <v>12.786421499292791</v>
      </c>
      <c r="BW6" s="4">
        <f t="shared" si="57"/>
        <v>6.3932107496463733</v>
      </c>
      <c r="BX6" s="4">
        <f t="shared" si="58"/>
        <v>72.456388495992314</v>
      </c>
      <c r="BY6" s="4">
        <f t="shared" si="59"/>
        <v>50.08015087223017</v>
      </c>
      <c r="BZ6" s="4">
        <f t="shared" si="60"/>
        <v>72.456388495992314</v>
      </c>
      <c r="CA6" s="4">
        <f t="shared" si="61"/>
        <v>64.997642621405092</v>
      </c>
      <c r="CB6" s="4">
        <f t="shared" si="62"/>
        <v>75.652993870815479</v>
      </c>
      <c r="CC6" s="4">
        <f t="shared" si="63"/>
        <v>41.555869872701543</v>
      </c>
      <c r="CD6" s="4">
        <f t="shared" si="64"/>
        <v>138.5195662423383</v>
      </c>
      <c r="CE6" s="4">
        <v>0</v>
      </c>
      <c r="CF6" s="4">
        <f t="shared" si="65"/>
        <v>57.5388967468174</v>
      </c>
      <c r="CG6" s="4">
        <f t="shared" si="66"/>
        <v>21.310702498821335</v>
      </c>
      <c r="CH6" s="4">
        <f t="shared" si="67"/>
        <v>11.720886374351707</v>
      </c>
      <c r="CI6" s="4">
        <f t="shared" si="68"/>
        <v>25.572842998585582</v>
      </c>
      <c r="CJ6" s="4">
        <f t="shared" si="69"/>
        <v>22.376237623762371</v>
      </c>
      <c r="CK6" s="4">
        <v>0</v>
      </c>
      <c r="CL6" s="4">
        <f t="shared" si="70"/>
        <v>51.145685997171078</v>
      </c>
      <c r="CM6" s="4">
        <v>0</v>
      </c>
      <c r="CN6" s="4">
        <f t="shared" si="71"/>
        <v>173.68222536539355</v>
      </c>
      <c r="CO6" s="4">
        <f t="shared" si="72"/>
        <v>10.655351249410668</v>
      </c>
      <c r="CP6" s="4">
        <f t="shared" si="73"/>
        <v>69.25978312116915</v>
      </c>
      <c r="CQ6" s="4">
        <f t="shared" si="74"/>
        <v>12.786421499292791</v>
      </c>
      <c r="CR6" s="4">
        <f t="shared" si="75"/>
        <v>31.966053748231957</v>
      </c>
      <c r="CS6" s="4">
        <f t="shared" si="76"/>
        <v>44.752475247524742</v>
      </c>
      <c r="CT6" s="4">
        <f t="shared" si="77"/>
        <v>40.490334747760492</v>
      </c>
      <c r="CU6" s="4">
        <f t="shared" si="78"/>
        <v>15.983026874116002</v>
      </c>
      <c r="CV6" s="4">
        <f t="shared" si="79"/>
        <v>36.228194247996257</v>
      </c>
      <c r="CW6" s="4">
        <f t="shared" si="80"/>
        <v>44.752475247524742</v>
      </c>
      <c r="CX6" s="4">
        <f t="shared" si="81"/>
        <v>39.424799622819414</v>
      </c>
      <c r="CY6" s="4">
        <f t="shared" si="82"/>
        <v>23.44177274870346</v>
      </c>
      <c r="CZ6" s="4">
        <f t="shared" si="83"/>
        <v>5.3276756247053338</v>
      </c>
      <c r="DA6" s="4">
        <f t="shared" si="84"/>
        <v>24.507307873644496</v>
      </c>
      <c r="DB6" s="4">
        <f t="shared" si="85"/>
        <v>40.490334747760492</v>
      </c>
      <c r="DC6" s="4">
        <f t="shared" si="86"/>
        <v>33.031588873173042</v>
      </c>
      <c r="DD6" s="4">
        <f t="shared" si="87"/>
        <v>45.81801037246565</v>
      </c>
      <c r="DE6" s="4">
        <f t="shared" si="88"/>
        <v>53.276756247053342</v>
      </c>
      <c r="DF6" s="4">
        <f t="shared" si="89"/>
        <v>2.131070249882129</v>
      </c>
      <c r="DG6" s="4">
        <f t="shared" si="90"/>
        <v>8.5242809995285427</v>
      </c>
      <c r="DH6" s="4">
        <f t="shared" si="91"/>
        <v>41.555869872701543</v>
      </c>
      <c r="DI6" s="4">
        <v>0</v>
      </c>
      <c r="DJ6" s="4">
        <f t="shared" si="92"/>
        <v>72.456388495992314</v>
      </c>
      <c r="DK6" s="4">
        <f t="shared" si="93"/>
        <v>6.3932107496463733</v>
      </c>
      <c r="DL6" s="4">
        <f t="shared" si="94"/>
        <v>8.5242809995285427</v>
      </c>
      <c r="DM6" s="4">
        <f t="shared" si="95"/>
        <v>23.44177274870346</v>
      </c>
      <c r="DN6" s="4">
        <f t="shared" si="96"/>
        <v>196.05846298915617</v>
      </c>
      <c r="DO6" s="4">
        <f t="shared" si="97"/>
        <v>21.310702498821335</v>
      </c>
      <c r="DP6" s="4">
        <f t="shared" si="98"/>
        <v>35.162659123055164</v>
      </c>
    </row>
    <row r="7" spans="1:120" x14ac:dyDescent="0.35">
      <c r="A7" s="3">
        <v>6</v>
      </c>
      <c r="B7" s="3">
        <v>5984</v>
      </c>
      <c r="C7" s="3">
        <f t="shared" si="0"/>
        <v>71.943422913719814</v>
      </c>
      <c r="D7" s="4">
        <f t="shared" si="1"/>
        <v>28.213107024988247</v>
      </c>
      <c r="E7" s="4">
        <f t="shared" si="2"/>
        <v>55.015558698726991</v>
      </c>
      <c r="F7" s="4">
        <f t="shared" si="3"/>
        <v>55.015558698726991</v>
      </c>
      <c r="G7" s="4">
        <v>0</v>
      </c>
      <c r="H7" s="4">
        <f t="shared" si="4"/>
        <v>73.354078264969601</v>
      </c>
      <c r="I7" s="4">
        <f t="shared" si="5"/>
        <v>26.802451673738805</v>
      </c>
      <c r="J7" s="4">
        <f t="shared" si="6"/>
        <v>39.498349834983493</v>
      </c>
      <c r="K7" s="4">
        <v>0</v>
      </c>
      <c r="L7" s="4">
        <v>0</v>
      </c>
      <c r="M7" s="4">
        <f t="shared" si="7"/>
        <v>98.745874587458744</v>
      </c>
      <c r="N7" s="4">
        <f t="shared" si="8"/>
        <v>66.300801508722429</v>
      </c>
      <c r="O7" s="4">
        <f t="shared" si="9"/>
        <v>47.962281942479997</v>
      </c>
      <c r="P7" s="4">
        <f t="shared" si="10"/>
        <v>19.749174917491747</v>
      </c>
      <c r="Q7" s="4">
        <f t="shared" si="11"/>
        <v>126.95898161244686</v>
      </c>
      <c r="R7" s="4">
        <f t="shared" si="12"/>
        <v>35.266383781235248</v>
      </c>
      <c r="S7" s="4">
        <f t="shared" si="13"/>
        <v>15.517208863743498</v>
      </c>
      <c r="T7" s="4">
        <f t="shared" si="14"/>
        <v>84.639321074964371</v>
      </c>
      <c r="U7" s="4">
        <f t="shared" si="15"/>
        <v>63.479490806223431</v>
      </c>
      <c r="V7" s="4">
        <f t="shared" si="16"/>
        <v>25.39179632248937</v>
      </c>
      <c r="W7" s="4">
        <f t="shared" si="17"/>
        <v>19.749174917491747</v>
      </c>
      <c r="X7" s="4">
        <f t="shared" si="18"/>
        <v>14.106553512494123</v>
      </c>
      <c r="Y7" s="4">
        <f t="shared" si="19"/>
        <v>9.8745874587458733</v>
      </c>
      <c r="Z7" s="4">
        <f t="shared" si="20"/>
        <v>18.338519566242311</v>
      </c>
      <c r="AA7" s="4">
        <v>0</v>
      </c>
      <c r="AB7" s="4">
        <v>0</v>
      </c>
      <c r="AC7" s="4">
        <f t="shared" si="21"/>
        <v>100.15652993870793</v>
      </c>
      <c r="AD7" s="4">
        <f t="shared" si="22"/>
        <v>23.981140971239999</v>
      </c>
      <c r="AE7" s="4">
        <f t="shared" si="23"/>
        <v>33.855728429985867</v>
      </c>
      <c r="AF7" s="4">
        <v>0</v>
      </c>
      <c r="AG7" s="4">
        <f t="shared" si="24"/>
        <v>60.658180103724433</v>
      </c>
      <c r="AH7" s="4">
        <f t="shared" si="25"/>
        <v>83.228665723715181</v>
      </c>
      <c r="AI7" s="4">
        <f t="shared" si="26"/>
        <v>32.445073078736435</v>
      </c>
      <c r="AJ7" s="4">
        <f t="shared" si="27"/>
        <v>83.228665723715181</v>
      </c>
      <c r="AK7" s="4">
        <f t="shared" si="28"/>
        <v>46.551626591230558</v>
      </c>
      <c r="AL7" s="4">
        <f t="shared" si="29"/>
        <v>43.730315888731745</v>
      </c>
      <c r="AM7" s="4">
        <v>0</v>
      </c>
      <c r="AN7" s="4">
        <v>0</v>
      </c>
      <c r="AO7" s="4">
        <f t="shared" si="30"/>
        <v>38.087694483734118</v>
      </c>
      <c r="AP7" s="4">
        <f t="shared" si="31"/>
        <v>93.103253182461344</v>
      </c>
      <c r="AQ7" s="4">
        <f t="shared" si="32"/>
        <v>52.194247996228178</v>
      </c>
      <c r="AR7" s="4">
        <f t="shared" si="33"/>
        <v>135.42291371994324</v>
      </c>
      <c r="AS7" s="4">
        <f t="shared" si="34"/>
        <v>25.39179632248937</v>
      </c>
      <c r="AT7" s="4">
        <f t="shared" si="35"/>
        <v>22.57048561999056</v>
      </c>
      <c r="AU7" s="4">
        <f t="shared" si="36"/>
        <v>74.764733616218791</v>
      </c>
      <c r="AV7" s="4">
        <f t="shared" si="37"/>
        <v>39.498349834983493</v>
      </c>
      <c r="AW7" s="4">
        <f t="shared" si="38"/>
        <v>47.962281942479997</v>
      </c>
      <c r="AX7" s="4">
        <f t="shared" si="39"/>
        <v>28.213107024988247</v>
      </c>
      <c r="AY7" s="4">
        <f t="shared" si="40"/>
        <v>122.72701555869867</v>
      </c>
      <c r="AZ7" s="4">
        <f t="shared" si="41"/>
        <v>23.981140971239999</v>
      </c>
      <c r="BA7" s="4">
        <f t="shared" si="42"/>
        <v>23.981140971239999</v>
      </c>
      <c r="BB7" s="4">
        <f t="shared" si="43"/>
        <v>25.39179632248937</v>
      </c>
      <c r="BC7" s="4">
        <f t="shared" si="44"/>
        <v>32.445073078736435</v>
      </c>
      <c r="BD7" s="4">
        <f t="shared" si="45"/>
        <v>159.40405469118318</v>
      </c>
      <c r="BE7" s="4">
        <f t="shared" si="46"/>
        <v>88.871287128713163</v>
      </c>
      <c r="BF7" s="4">
        <f t="shared" si="47"/>
        <v>118.49504950495047</v>
      </c>
      <c r="BG7" s="4">
        <f t="shared" si="48"/>
        <v>16.927864214992933</v>
      </c>
      <c r="BH7" s="4">
        <f t="shared" si="49"/>
        <v>16.927864214992933</v>
      </c>
      <c r="BI7" s="4">
        <f t="shared" si="50"/>
        <v>390.75153229608674</v>
      </c>
      <c r="BJ7" s="4">
        <f t="shared" si="51"/>
        <v>110.03111739745411</v>
      </c>
      <c r="BK7" s="4">
        <v>0</v>
      </c>
      <c r="BL7" s="4">
        <f t="shared" si="52"/>
        <v>108.62046204620492</v>
      </c>
      <c r="BM7" s="4">
        <v>0</v>
      </c>
      <c r="BN7" s="4">
        <v>0</v>
      </c>
      <c r="BO7" s="4">
        <v>0</v>
      </c>
      <c r="BP7" s="4">
        <f t="shared" si="53"/>
        <v>55.015558698726991</v>
      </c>
      <c r="BQ7" s="4">
        <f t="shared" si="54"/>
        <v>39.498349834983493</v>
      </c>
      <c r="BR7" s="4">
        <v>0</v>
      </c>
      <c r="BS7" s="4">
        <v>0</v>
      </c>
      <c r="BT7" s="4">
        <f t="shared" si="55"/>
        <v>93.103253182461344</v>
      </c>
      <c r="BU7" s="4">
        <v>0</v>
      </c>
      <c r="BV7" s="4">
        <f t="shared" si="56"/>
        <v>16.927864214992933</v>
      </c>
      <c r="BW7" s="4">
        <f t="shared" si="57"/>
        <v>8.4639321074964364</v>
      </c>
      <c r="BX7" s="4">
        <f t="shared" si="58"/>
        <v>95.924563884959738</v>
      </c>
      <c r="BY7" s="4">
        <f t="shared" si="59"/>
        <v>66.300801508722429</v>
      </c>
      <c r="BZ7" s="4">
        <f t="shared" si="60"/>
        <v>95.924563884959738</v>
      </c>
      <c r="CA7" s="4">
        <f t="shared" si="61"/>
        <v>86.049976426214172</v>
      </c>
      <c r="CB7" s="4">
        <f t="shared" si="62"/>
        <v>100.15652993870793</v>
      </c>
      <c r="CC7" s="4">
        <f t="shared" si="63"/>
        <v>55.015558698726991</v>
      </c>
      <c r="CD7" s="4">
        <f t="shared" si="64"/>
        <v>183.38519566242311</v>
      </c>
      <c r="CE7" s="4">
        <v>0</v>
      </c>
      <c r="CF7" s="4">
        <f t="shared" si="65"/>
        <v>76.175388967467995</v>
      </c>
      <c r="CG7" s="4">
        <f t="shared" si="66"/>
        <v>28.213107024988247</v>
      </c>
      <c r="CH7" s="4">
        <f t="shared" si="67"/>
        <v>15.517208863743498</v>
      </c>
      <c r="CI7" s="4">
        <f t="shared" si="68"/>
        <v>33.855728429985867</v>
      </c>
      <c r="CJ7" s="4">
        <f t="shared" si="69"/>
        <v>29.623762376237618</v>
      </c>
      <c r="CK7" s="4">
        <v>0</v>
      </c>
      <c r="CL7" s="4">
        <f t="shared" si="70"/>
        <v>67.711456859971619</v>
      </c>
      <c r="CM7" s="4">
        <v>0</v>
      </c>
      <c r="CN7" s="4">
        <f t="shared" si="71"/>
        <v>229.93682225365376</v>
      </c>
      <c r="CO7" s="4">
        <f t="shared" si="72"/>
        <v>14.106553512494123</v>
      </c>
      <c r="CP7" s="4">
        <f t="shared" si="73"/>
        <v>91.692597831211557</v>
      </c>
      <c r="CQ7" s="4">
        <f t="shared" si="74"/>
        <v>16.927864214992933</v>
      </c>
      <c r="CR7" s="4">
        <f t="shared" si="75"/>
        <v>42.319660537482306</v>
      </c>
      <c r="CS7" s="4">
        <f t="shared" si="76"/>
        <v>59.247524752475236</v>
      </c>
      <c r="CT7" s="4">
        <f t="shared" si="77"/>
        <v>53.60490334747761</v>
      </c>
      <c r="CU7" s="4">
        <f t="shared" si="78"/>
        <v>21.159830268741185</v>
      </c>
      <c r="CV7" s="4">
        <f t="shared" si="79"/>
        <v>47.962281942479997</v>
      </c>
      <c r="CW7" s="4">
        <f t="shared" si="80"/>
        <v>59.247524752475236</v>
      </c>
      <c r="CX7" s="4">
        <f t="shared" si="81"/>
        <v>52.194247996228178</v>
      </c>
      <c r="CY7" s="4">
        <f t="shared" si="82"/>
        <v>31.03441772748706</v>
      </c>
      <c r="CZ7" s="4">
        <f t="shared" si="83"/>
        <v>7.0532767562470617</v>
      </c>
      <c r="DA7" s="4">
        <f t="shared" si="84"/>
        <v>32.445073078736435</v>
      </c>
      <c r="DB7" s="4">
        <f t="shared" si="85"/>
        <v>53.60490334747761</v>
      </c>
      <c r="DC7" s="4">
        <f t="shared" si="86"/>
        <v>43.730315888731745</v>
      </c>
      <c r="DD7" s="4">
        <f t="shared" si="87"/>
        <v>60.658180103724433</v>
      </c>
      <c r="DE7" s="4">
        <f t="shared" si="88"/>
        <v>70.53276756247061</v>
      </c>
      <c r="DF7" s="4">
        <f t="shared" si="89"/>
        <v>2.8213107024988182</v>
      </c>
      <c r="DG7" s="4">
        <f t="shared" si="90"/>
        <v>11.28524280999531</v>
      </c>
      <c r="DH7" s="4">
        <f t="shared" si="91"/>
        <v>55.015558698726991</v>
      </c>
      <c r="DI7" s="4">
        <v>0</v>
      </c>
      <c r="DJ7" s="4">
        <f t="shared" si="92"/>
        <v>95.924563884959738</v>
      </c>
      <c r="DK7" s="4">
        <f t="shared" si="93"/>
        <v>8.4639321074964364</v>
      </c>
      <c r="DL7" s="4">
        <f t="shared" si="94"/>
        <v>11.28524280999531</v>
      </c>
      <c r="DM7" s="4">
        <f t="shared" si="95"/>
        <v>31.03441772748706</v>
      </c>
      <c r="DN7" s="4">
        <f t="shared" si="96"/>
        <v>259.56058462989171</v>
      </c>
      <c r="DO7" s="4">
        <f t="shared" si="97"/>
        <v>28.213107024988247</v>
      </c>
      <c r="DP7" s="4">
        <f t="shared" si="98"/>
        <v>46.551626591230558</v>
      </c>
    </row>
    <row r="8" spans="1:120" x14ac:dyDescent="0.35">
      <c r="A8" s="3">
        <v>7</v>
      </c>
      <c r="B8" s="3">
        <v>7168</v>
      </c>
      <c r="C8" s="3">
        <f t="shared" si="0"/>
        <v>86.178217821782027</v>
      </c>
      <c r="D8" s="4">
        <f t="shared" si="1"/>
        <v>33.795379537953835</v>
      </c>
      <c r="E8" s="4">
        <f t="shared" si="2"/>
        <v>65.900990099009874</v>
      </c>
      <c r="F8" s="4">
        <f t="shared" si="3"/>
        <v>65.900990099009874</v>
      </c>
      <c r="G8" s="4">
        <v>0</v>
      </c>
      <c r="H8" s="4">
        <f t="shared" si="4"/>
        <v>87.867986798680164</v>
      </c>
      <c r="I8" s="4">
        <f t="shared" si="5"/>
        <v>32.10561056105611</v>
      </c>
      <c r="J8" s="4">
        <f t="shared" si="6"/>
        <v>47.313531353135311</v>
      </c>
      <c r="K8" s="4">
        <v>0</v>
      </c>
      <c r="L8" s="4">
        <v>0</v>
      </c>
      <c r="M8" s="4">
        <f t="shared" si="7"/>
        <v>118.28382838283827</v>
      </c>
      <c r="N8" s="4">
        <f t="shared" si="8"/>
        <v>79.41914191419157</v>
      </c>
      <c r="O8" s="4">
        <f t="shared" si="9"/>
        <v>57.452145214521494</v>
      </c>
      <c r="P8" s="4">
        <f t="shared" si="10"/>
        <v>23.656765676567655</v>
      </c>
      <c r="Q8" s="4">
        <f t="shared" si="11"/>
        <v>152.07920792079196</v>
      </c>
      <c r="R8" s="4">
        <f t="shared" si="12"/>
        <v>42.244224422442215</v>
      </c>
      <c r="S8" s="4">
        <f t="shared" si="13"/>
        <v>18.587458745874564</v>
      </c>
      <c r="T8" s="4">
        <f t="shared" si="14"/>
        <v>101.38613861386106</v>
      </c>
      <c r="U8" s="4">
        <f t="shared" si="15"/>
        <v>76.039603960395979</v>
      </c>
      <c r="V8" s="4">
        <f t="shared" si="16"/>
        <v>30.41584158415839</v>
      </c>
      <c r="W8" s="4">
        <f t="shared" si="17"/>
        <v>23.656765676567655</v>
      </c>
      <c r="X8" s="4">
        <f t="shared" si="18"/>
        <v>16.897689768976917</v>
      </c>
      <c r="Y8" s="4">
        <f t="shared" si="19"/>
        <v>11.828382838283828</v>
      </c>
      <c r="Z8" s="4">
        <f t="shared" si="20"/>
        <v>21.966996699669934</v>
      </c>
      <c r="AA8" s="4">
        <v>0</v>
      </c>
      <c r="AB8" s="4">
        <v>0</v>
      </c>
      <c r="AC8" s="4">
        <f t="shared" si="21"/>
        <v>119.97359735973571</v>
      </c>
      <c r="AD8" s="4">
        <f t="shared" si="22"/>
        <v>28.726072607260747</v>
      </c>
      <c r="AE8" s="4">
        <f t="shared" si="23"/>
        <v>40.554455445544569</v>
      </c>
      <c r="AF8" s="4">
        <v>0</v>
      </c>
      <c r="AG8" s="4">
        <f t="shared" si="24"/>
        <v>72.660066006600388</v>
      </c>
      <c r="AH8" s="4">
        <f t="shared" si="25"/>
        <v>99.696369636963638</v>
      </c>
      <c r="AI8" s="4">
        <f t="shared" si="26"/>
        <v>38.864686468646852</v>
      </c>
      <c r="AJ8" s="4">
        <f t="shared" si="27"/>
        <v>99.696369636963638</v>
      </c>
      <c r="AK8" s="4">
        <f t="shared" si="28"/>
        <v>55.762376237623769</v>
      </c>
      <c r="AL8" s="4">
        <f t="shared" si="29"/>
        <v>52.382838283828399</v>
      </c>
      <c r="AM8" s="4">
        <v>0</v>
      </c>
      <c r="AN8" s="4">
        <v>0</v>
      </c>
      <c r="AO8" s="4">
        <f t="shared" si="30"/>
        <v>45.623762376237657</v>
      </c>
      <c r="AP8" s="4">
        <f t="shared" si="31"/>
        <v>111.52475247524782</v>
      </c>
      <c r="AQ8" s="4">
        <f t="shared" si="32"/>
        <v>62.521452145214496</v>
      </c>
      <c r="AR8" s="4">
        <f t="shared" si="33"/>
        <v>162.21782178217799</v>
      </c>
      <c r="AS8" s="4">
        <f t="shared" si="34"/>
        <v>30.41584158415839</v>
      </c>
      <c r="AT8" s="4">
        <f t="shared" si="35"/>
        <v>27.036303630363022</v>
      </c>
      <c r="AU8" s="4">
        <f t="shared" si="36"/>
        <v>89.55775577557759</v>
      </c>
      <c r="AV8" s="4">
        <f t="shared" si="37"/>
        <v>47.313531353135311</v>
      </c>
      <c r="AW8" s="4">
        <f t="shared" si="38"/>
        <v>57.452145214521494</v>
      </c>
      <c r="AX8" s="4">
        <f t="shared" si="39"/>
        <v>33.795379537953835</v>
      </c>
      <c r="AY8" s="4">
        <f t="shared" si="40"/>
        <v>147.00990099009894</v>
      </c>
      <c r="AZ8" s="4">
        <f t="shared" si="41"/>
        <v>28.726072607260747</v>
      </c>
      <c r="BA8" s="4">
        <f t="shared" si="42"/>
        <v>28.726072607260747</v>
      </c>
      <c r="BB8" s="4">
        <f t="shared" si="43"/>
        <v>30.41584158415839</v>
      </c>
      <c r="BC8" s="4">
        <f t="shared" si="44"/>
        <v>38.864686468646852</v>
      </c>
      <c r="BD8" s="4">
        <f t="shared" si="45"/>
        <v>190.94389438943867</v>
      </c>
      <c r="BE8" s="4">
        <f t="shared" si="46"/>
        <v>106.45544554455481</v>
      </c>
      <c r="BF8" s="4">
        <f t="shared" si="47"/>
        <v>141.94059405940592</v>
      </c>
      <c r="BG8" s="4">
        <f t="shared" si="48"/>
        <v>20.277227722772285</v>
      </c>
      <c r="BH8" s="4">
        <f t="shared" si="49"/>
        <v>20.277227722772285</v>
      </c>
      <c r="BI8" s="4">
        <f t="shared" si="50"/>
        <v>468.06600660066005</v>
      </c>
      <c r="BJ8" s="4">
        <f t="shared" si="51"/>
        <v>131.80198019801989</v>
      </c>
      <c r="BK8" s="4">
        <v>0</v>
      </c>
      <c r="BL8" s="4">
        <f t="shared" si="52"/>
        <v>130.11221122112246</v>
      </c>
      <c r="BM8" s="4">
        <v>0</v>
      </c>
      <c r="BN8" s="4">
        <v>0</v>
      </c>
      <c r="BO8" s="4">
        <v>0</v>
      </c>
      <c r="BP8" s="4">
        <f t="shared" si="53"/>
        <v>65.900990099009874</v>
      </c>
      <c r="BQ8" s="4">
        <f t="shared" si="54"/>
        <v>47.313531353135311</v>
      </c>
      <c r="BR8" s="4">
        <v>0</v>
      </c>
      <c r="BS8" s="4">
        <v>0</v>
      </c>
      <c r="BT8" s="4">
        <f t="shared" si="55"/>
        <v>111.52475247524782</v>
      </c>
      <c r="BU8" s="4">
        <v>0</v>
      </c>
      <c r="BV8" s="4">
        <f t="shared" si="56"/>
        <v>20.277227722772285</v>
      </c>
      <c r="BW8" s="4">
        <f t="shared" si="57"/>
        <v>10.138613861386107</v>
      </c>
      <c r="BX8" s="4">
        <f t="shared" si="58"/>
        <v>114.90429042904269</v>
      </c>
      <c r="BY8" s="4">
        <f t="shared" si="59"/>
        <v>79.41914191419157</v>
      </c>
      <c r="BZ8" s="4">
        <f t="shared" si="60"/>
        <v>114.90429042904269</v>
      </c>
      <c r="CA8" s="4">
        <f t="shared" si="61"/>
        <v>103.07590759075923</v>
      </c>
      <c r="CB8" s="4">
        <f t="shared" si="62"/>
        <v>119.97359735973571</v>
      </c>
      <c r="CC8" s="4">
        <f t="shared" si="63"/>
        <v>65.900990099009874</v>
      </c>
      <c r="CD8" s="4">
        <f t="shared" si="64"/>
        <v>219.66996699669932</v>
      </c>
      <c r="CE8" s="4">
        <v>0</v>
      </c>
      <c r="CF8" s="4">
        <f t="shared" si="65"/>
        <v>91.24752475247503</v>
      </c>
      <c r="CG8" s="4">
        <f t="shared" si="66"/>
        <v>33.795379537953835</v>
      </c>
      <c r="CH8" s="4">
        <f t="shared" si="67"/>
        <v>18.587458745874564</v>
      </c>
      <c r="CI8" s="4">
        <f t="shared" si="68"/>
        <v>40.554455445544569</v>
      </c>
      <c r="CJ8" s="4">
        <f t="shared" si="69"/>
        <v>35.485148514851481</v>
      </c>
      <c r="CK8" s="4">
        <v>0</v>
      </c>
      <c r="CL8" s="4">
        <f t="shared" si="70"/>
        <v>81.108910891088996</v>
      </c>
      <c r="CM8" s="4">
        <v>0</v>
      </c>
      <c r="CN8" s="4">
        <f t="shared" si="71"/>
        <v>275.43234323432324</v>
      </c>
      <c r="CO8" s="4">
        <f t="shared" si="72"/>
        <v>16.897689768976917</v>
      </c>
      <c r="CP8" s="4">
        <f t="shared" si="73"/>
        <v>109.83498349834966</v>
      </c>
      <c r="CQ8" s="4">
        <f t="shared" si="74"/>
        <v>20.277227722772285</v>
      </c>
      <c r="CR8" s="4">
        <f t="shared" si="75"/>
        <v>50.693069306930681</v>
      </c>
      <c r="CS8" s="4">
        <f t="shared" si="76"/>
        <v>70.970297029702962</v>
      </c>
      <c r="CT8" s="4">
        <f t="shared" si="77"/>
        <v>64.211221122112221</v>
      </c>
      <c r="CU8" s="4">
        <f t="shared" si="78"/>
        <v>25.346534653465376</v>
      </c>
      <c r="CV8" s="4">
        <f t="shared" si="79"/>
        <v>57.452145214521494</v>
      </c>
      <c r="CW8" s="4">
        <f t="shared" si="80"/>
        <v>70.970297029702962</v>
      </c>
      <c r="CX8" s="4">
        <f t="shared" si="81"/>
        <v>62.521452145214496</v>
      </c>
      <c r="CY8" s="4">
        <f t="shared" si="82"/>
        <v>37.174917491749206</v>
      </c>
      <c r="CZ8" s="4">
        <f t="shared" si="83"/>
        <v>8.4488448844884587</v>
      </c>
      <c r="DA8" s="4">
        <f t="shared" si="84"/>
        <v>38.864686468646852</v>
      </c>
      <c r="DB8" s="4">
        <f t="shared" si="85"/>
        <v>64.211221122112221</v>
      </c>
      <c r="DC8" s="4">
        <f t="shared" si="86"/>
        <v>52.382838283828399</v>
      </c>
      <c r="DD8" s="4">
        <f t="shared" si="87"/>
        <v>72.660066006600388</v>
      </c>
      <c r="DE8" s="4">
        <f t="shared" si="88"/>
        <v>84.488448844884587</v>
      </c>
      <c r="DF8" s="4">
        <f t="shared" si="89"/>
        <v>3.379537953795376</v>
      </c>
      <c r="DG8" s="4">
        <f t="shared" si="90"/>
        <v>13.518151815181547</v>
      </c>
      <c r="DH8" s="4">
        <f t="shared" si="91"/>
        <v>65.900990099009874</v>
      </c>
      <c r="DI8" s="4">
        <v>0</v>
      </c>
      <c r="DJ8" s="4">
        <f t="shared" si="92"/>
        <v>114.90429042904269</v>
      </c>
      <c r="DK8" s="4">
        <f t="shared" si="93"/>
        <v>10.138613861386107</v>
      </c>
      <c r="DL8" s="4">
        <f t="shared" si="94"/>
        <v>13.518151815181547</v>
      </c>
      <c r="DM8" s="4">
        <f t="shared" si="95"/>
        <v>37.174917491749206</v>
      </c>
      <c r="DN8" s="4">
        <f t="shared" si="96"/>
        <v>310.9174917491751</v>
      </c>
      <c r="DO8" s="4">
        <f t="shared" si="97"/>
        <v>33.795379537953835</v>
      </c>
      <c r="DP8" s="4">
        <f t="shared" si="98"/>
        <v>55.762376237623769</v>
      </c>
    </row>
    <row r="9" spans="1:120" x14ac:dyDescent="0.35">
      <c r="A9" s="3">
        <v>8</v>
      </c>
      <c r="B9" s="3">
        <v>7759</v>
      </c>
      <c r="C9" s="3">
        <f t="shared" si="0"/>
        <v>93.283592644978611</v>
      </c>
      <c r="D9" s="4">
        <f t="shared" si="1"/>
        <v>36.581801037246628</v>
      </c>
      <c r="E9" s="4">
        <f t="shared" si="2"/>
        <v>71.334512022630804</v>
      </c>
      <c r="F9" s="4">
        <f t="shared" si="3"/>
        <v>71.334512022630804</v>
      </c>
      <c r="G9" s="4">
        <v>0</v>
      </c>
      <c r="H9" s="4">
        <f t="shared" si="4"/>
        <v>95.112682696841432</v>
      </c>
      <c r="I9" s="4">
        <f t="shared" si="5"/>
        <v>34.752710985384255</v>
      </c>
      <c r="J9" s="4">
        <f t="shared" si="6"/>
        <v>51.214521452145206</v>
      </c>
      <c r="K9" s="4">
        <v>0</v>
      </c>
      <c r="L9" s="4">
        <v>0</v>
      </c>
      <c r="M9" s="4">
        <f t="shared" si="7"/>
        <v>128.03630363036302</v>
      </c>
      <c r="N9" s="4">
        <f t="shared" si="8"/>
        <v>85.967232437529631</v>
      </c>
      <c r="O9" s="4">
        <f t="shared" si="9"/>
        <v>62.189061763319231</v>
      </c>
      <c r="P9" s="4">
        <f t="shared" si="10"/>
        <v>25.607260726072603</v>
      </c>
      <c r="Q9" s="4">
        <f t="shared" si="11"/>
        <v>164.61810466760949</v>
      </c>
      <c r="R9" s="4">
        <f t="shared" si="12"/>
        <v>45.727251296558201</v>
      </c>
      <c r="S9" s="4">
        <f t="shared" si="13"/>
        <v>20.119990570485594</v>
      </c>
      <c r="T9" s="4">
        <f t="shared" si="14"/>
        <v>109.74540311173941</v>
      </c>
      <c r="U9" s="4">
        <f t="shared" si="15"/>
        <v>82.309052333804743</v>
      </c>
      <c r="V9" s="4">
        <f t="shared" si="16"/>
        <v>32.923620933521896</v>
      </c>
      <c r="W9" s="4">
        <f t="shared" si="17"/>
        <v>25.607260726072603</v>
      </c>
      <c r="X9" s="4">
        <f t="shared" si="18"/>
        <v>18.290900518623314</v>
      </c>
      <c r="Y9" s="4">
        <f t="shared" si="19"/>
        <v>12.803630363036302</v>
      </c>
      <c r="Z9" s="4">
        <f t="shared" si="20"/>
        <v>23.778170674210244</v>
      </c>
      <c r="AA9" s="4">
        <v>0</v>
      </c>
      <c r="AB9" s="4">
        <v>0</v>
      </c>
      <c r="AC9" s="4">
        <f t="shared" si="21"/>
        <v>129.86539368222509</v>
      </c>
      <c r="AD9" s="4">
        <f t="shared" si="22"/>
        <v>31.094530881659615</v>
      </c>
      <c r="AE9" s="4">
        <f t="shared" si="23"/>
        <v>43.898161244695913</v>
      </c>
      <c r="AF9" s="4">
        <v>0</v>
      </c>
      <c r="AG9" s="4">
        <f t="shared" si="24"/>
        <v>78.650872230079855</v>
      </c>
      <c r="AH9" s="4">
        <f t="shared" si="25"/>
        <v>107.91631305987735</v>
      </c>
      <c r="AI9" s="4">
        <f t="shared" si="26"/>
        <v>42.069071192833555</v>
      </c>
      <c r="AJ9" s="4">
        <f t="shared" si="27"/>
        <v>107.91631305987735</v>
      </c>
      <c r="AK9" s="4">
        <f t="shared" si="28"/>
        <v>60.359971711456865</v>
      </c>
      <c r="AL9" s="4">
        <f t="shared" si="29"/>
        <v>56.701791607732218</v>
      </c>
      <c r="AM9" s="4">
        <v>0</v>
      </c>
      <c r="AN9" s="4">
        <v>0</v>
      </c>
      <c r="AO9" s="4">
        <f t="shared" si="30"/>
        <v>49.385431400282918</v>
      </c>
      <c r="AP9" s="4">
        <f t="shared" si="31"/>
        <v>120.71994342291404</v>
      </c>
      <c r="AQ9" s="4">
        <f t="shared" si="32"/>
        <v>67.676331918906158</v>
      </c>
      <c r="AR9" s="4">
        <f t="shared" si="33"/>
        <v>175.59264497878337</v>
      </c>
      <c r="AS9" s="4">
        <f t="shared" si="34"/>
        <v>32.923620933521896</v>
      </c>
      <c r="AT9" s="4">
        <f t="shared" si="35"/>
        <v>29.265440829797253</v>
      </c>
      <c r="AU9" s="4">
        <f t="shared" si="36"/>
        <v>96.941772748703485</v>
      </c>
      <c r="AV9" s="4">
        <f t="shared" si="37"/>
        <v>51.214521452145206</v>
      </c>
      <c r="AW9" s="4">
        <f t="shared" si="38"/>
        <v>62.189061763319231</v>
      </c>
      <c r="AX9" s="4">
        <f t="shared" si="39"/>
        <v>36.581801037246628</v>
      </c>
      <c r="AY9" s="4">
        <f t="shared" si="40"/>
        <v>159.13083451202255</v>
      </c>
      <c r="AZ9" s="4">
        <f t="shared" si="41"/>
        <v>31.094530881659615</v>
      </c>
      <c r="BA9" s="4">
        <f t="shared" si="42"/>
        <v>31.094530881659615</v>
      </c>
      <c r="BB9" s="4">
        <f t="shared" si="43"/>
        <v>32.923620933521896</v>
      </c>
      <c r="BC9" s="4">
        <f t="shared" si="44"/>
        <v>42.069071192833555</v>
      </c>
      <c r="BD9" s="4">
        <f t="shared" si="45"/>
        <v>206.68717586044289</v>
      </c>
      <c r="BE9" s="4">
        <f t="shared" si="46"/>
        <v>115.2326732673271</v>
      </c>
      <c r="BF9" s="4">
        <f t="shared" si="47"/>
        <v>153.64356435643563</v>
      </c>
      <c r="BG9" s="4">
        <f t="shared" si="48"/>
        <v>21.949080622347957</v>
      </c>
      <c r="BH9" s="4">
        <f t="shared" si="49"/>
        <v>21.949080622347957</v>
      </c>
      <c r="BI9" s="4">
        <f t="shared" si="50"/>
        <v>506.65794436586515</v>
      </c>
      <c r="BJ9" s="4">
        <f t="shared" si="51"/>
        <v>142.66902404526178</v>
      </c>
      <c r="BK9" s="4">
        <v>0</v>
      </c>
      <c r="BL9" s="4">
        <f t="shared" si="52"/>
        <v>140.83993399339971</v>
      </c>
      <c r="BM9" s="4">
        <v>0</v>
      </c>
      <c r="BN9" s="4">
        <v>0</v>
      </c>
      <c r="BO9" s="4">
        <v>0</v>
      </c>
      <c r="BP9" s="4">
        <f t="shared" si="53"/>
        <v>71.334512022630804</v>
      </c>
      <c r="BQ9" s="4">
        <f t="shared" si="54"/>
        <v>51.214521452145206</v>
      </c>
      <c r="BR9" s="4">
        <v>0</v>
      </c>
      <c r="BS9" s="4">
        <v>0</v>
      </c>
      <c r="BT9" s="4">
        <f t="shared" si="55"/>
        <v>120.71994342291404</v>
      </c>
      <c r="BU9" s="4">
        <v>0</v>
      </c>
      <c r="BV9" s="4">
        <f t="shared" si="56"/>
        <v>21.949080622347957</v>
      </c>
      <c r="BW9" s="4">
        <f t="shared" si="57"/>
        <v>10.974540311173939</v>
      </c>
      <c r="BX9" s="4">
        <f t="shared" si="58"/>
        <v>124.37812352663813</v>
      </c>
      <c r="BY9" s="4">
        <f t="shared" si="59"/>
        <v>85.967232437529631</v>
      </c>
      <c r="BZ9" s="4">
        <f t="shared" si="60"/>
        <v>124.37812352663813</v>
      </c>
      <c r="CA9" s="4">
        <f t="shared" si="61"/>
        <v>111.57449316360224</v>
      </c>
      <c r="CB9" s="4">
        <f t="shared" si="62"/>
        <v>129.86539368222509</v>
      </c>
      <c r="CC9" s="4">
        <f t="shared" si="63"/>
        <v>71.334512022630804</v>
      </c>
      <c r="CD9" s="4">
        <f t="shared" si="64"/>
        <v>237.78170674210241</v>
      </c>
      <c r="CE9" s="4">
        <v>0</v>
      </c>
      <c r="CF9" s="4">
        <f t="shared" si="65"/>
        <v>98.770862800565538</v>
      </c>
      <c r="CG9" s="4">
        <f t="shared" si="66"/>
        <v>36.581801037246628</v>
      </c>
      <c r="CH9" s="4">
        <f t="shared" si="67"/>
        <v>20.119990570485594</v>
      </c>
      <c r="CI9" s="4">
        <f t="shared" si="68"/>
        <v>43.898161244695913</v>
      </c>
      <c r="CJ9" s="4">
        <f t="shared" si="69"/>
        <v>38.410891089108908</v>
      </c>
      <c r="CK9" s="4">
        <v>0</v>
      </c>
      <c r="CL9" s="4">
        <f t="shared" si="70"/>
        <v>87.796322489391684</v>
      </c>
      <c r="CM9" s="4">
        <v>0</v>
      </c>
      <c r="CN9" s="4">
        <f t="shared" si="71"/>
        <v>298.14167845355939</v>
      </c>
      <c r="CO9" s="4">
        <f t="shared" si="72"/>
        <v>18.290900518623314</v>
      </c>
      <c r="CP9" s="4">
        <f t="shared" si="73"/>
        <v>118.89085337105121</v>
      </c>
      <c r="CQ9" s="4">
        <f t="shared" si="74"/>
        <v>21.949080622347957</v>
      </c>
      <c r="CR9" s="4">
        <f t="shared" si="75"/>
        <v>54.872701555869853</v>
      </c>
      <c r="CS9" s="4">
        <f t="shared" si="76"/>
        <v>76.821782178217816</v>
      </c>
      <c r="CT9" s="4">
        <f t="shared" si="77"/>
        <v>69.505421970768509</v>
      </c>
      <c r="CU9" s="4">
        <f t="shared" si="78"/>
        <v>27.436350777934969</v>
      </c>
      <c r="CV9" s="4">
        <f t="shared" si="79"/>
        <v>62.189061763319231</v>
      </c>
      <c r="CW9" s="4">
        <f t="shared" si="80"/>
        <v>76.821782178217816</v>
      </c>
      <c r="CX9" s="4">
        <f t="shared" si="81"/>
        <v>67.676331918906158</v>
      </c>
      <c r="CY9" s="4">
        <f t="shared" si="82"/>
        <v>40.239981140971274</v>
      </c>
      <c r="CZ9" s="4">
        <f t="shared" si="83"/>
        <v>9.1454502593116569</v>
      </c>
      <c r="DA9" s="4">
        <f t="shared" si="84"/>
        <v>42.069071192833555</v>
      </c>
      <c r="DB9" s="4">
        <f t="shared" si="85"/>
        <v>69.505421970768509</v>
      </c>
      <c r="DC9" s="4">
        <f t="shared" si="86"/>
        <v>56.701791607732218</v>
      </c>
      <c r="DD9" s="4">
        <f t="shared" si="87"/>
        <v>78.650872230079855</v>
      </c>
      <c r="DE9" s="4">
        <f t="shared" si="88"/>
        <v>91.454502593116558</v>
      </c>
      <c r="DF9" s="4">
        <f t="shared" si="89"/>
        <v>3.6581801037246544</v>
      </c>
      <c r="DG9" s="4">
        <f t="shared" si="90"/>
        <v>14.632720414898664</v>
      </c>
      <c r="DH9" s="4">
        <f t="shared" si="91"/>
        <v>71.334512022630804</v>
      </c>
      <c r="DI9" s="4">
        <v>0</v>
      </c>
      <c r="DJ9" s="4">
        <f t="shared" si="92"/>
        <v>124.37812352663813</v>
      </c>
      <c r="DK9" s="4">
        <f t="shared" si="93"/>
        <v>10.974540311173939</v>
      </c>
      <c r="DL9" s="4">
        <f t="shared" si="94"/>
        <v>14.632720414898664</v>
      </c>
      <c r="DM9" s="4">
        <f t="shared" si="95"/>
        <v>40.239981140971274</v>
      </c>
      <c r="DN9" s="4">
        <f t="shared" si="96"/>
        <v>336.55256954266872</v>
      </c>
      <c r="DO9" s="4">
        <f t="shared" si="97"/>
        <v>36.581801037246628</v>
      </c>
      <c r="DP9" s="4">
        <f t="shared" si="98"/>
        <v>60.359971711456865</v>
      </c>
    </row>
    <row r="10" spans="1:120" x14ac:dyDescent="0.35">
      <c r="A10" s="3">
        <v>9</v>
      </c>
      <c r="B10" s="3">
        <v>8215</v>
      </c>
      <c r="C10" s="3">
        <f t="shared" si="0"/>
        <v>98.765912305516082</v>
      </c>
      <c r="D10" s="4">
        <f t="shared" si="1"/>
        <v>38.731730315888775</v>
      </c>
      <c r="E10" s="4">
        <f t="shared" si="2"/>
        <v>75.526874115982991</v>
      </c>
      <c r="F10" s="4">
        <f t="shared" si="3"/>
        <v>75.526874115982991</v>
      </c>
      <c r="G10" s="4">
        <v>0</v>
      </c>
      <c r="H10" s="4">
        <f t="shared" si="4"/>
        <v>100.70249882131104</v>
      </c>
      <c r="I10" s="4">
        <f t="shared" si="5"/>
        <v>36.795143800094301</v>
      </c>
      <c r="J10" s="4">
        <f t="shared" si="6"/>
        <v>54.224422442244219</v>
      </c>
      <c r="K10" s="4">
        <v>0</v>
      </c>
      <c r="L10" s="4">
        <v>0</v>
      </c>
      <c r="M10" s="4">
        <f t="shared" si="7"/>
        <v>135.56105610561056</v>
      </c>
      <c r="N10" s="4">
        <f t="shared" si="8"/>
        <v>91.019566242338684</v>
      </c>
      <c r="O10" s="4">
        <f t="shared" si="9"/>
        <v>65.843941537010892</v>
      </c>
      <c r="P10" s="4">
        <f t="shared" si="10"/>
        <v>27.112211221122109</v>
      </c>
      <c r="Q10" s="4">
        <f t="shared" si="11"/>
        <v>174.29278642149916</v>
      </c>
      <c r="R10" s="4">
        <f t="shared" si="12"/>
        <v>48.414662894860889</v>
      </c>
      <c r="S10" s="4">
        <f t="shared" si="13"/>
        <v>21.302451673738776</v>
      </c>
      <c r="T10" s="4">
        <f t="shared" si="14"/>
        <v>116.19519094766584</v>
      </c>
      <c r="U10" s="4">
        <f t="shared" si="15"/>
        <v>87.146393210749579</v>
      </c>
      <c r="V10" s="4">
        <f t="shared" si="16"/>
        <v>34.858557284299827</v>
      </c>
      <c r="W10" s="4">
        <f t="shared" si="17"/>
        <v>27.112211221122109</v>
      </c>
      <c r="X10" s="4">
        <f t="shared" si="18"/>
        <v>19.365865157944388</v>
      </c>
      <c r="Y10" s="4">
        <f t="shared" si="19"/>
        <v>13.556105610561055</v>
      </c>
      <c r="Z10" s="4">
        <f t="shared" si="20"/>
        <v>25.175624705327639</v>
      </c>
      <c r="AA10" s="4">
        <v>0</v>
      </c>
      <c r="AB10" s="4">
        <v>0</v>
      </c>
      <c r="AC10" s="4">
        <f t="shared" si="21"/>
        <v>137.49764262140468</v>
      </c>
      <c r="AD10" s="4">
        <f t="shared" si="22"/>
        <v>32.921970768505446</v>
      </c>
      <c r="AE10" s="4">
        <f t="shared" si="23"/>
        <v>46.478076379066493</v>
      </c>
      <c r="AF10" s="4">
        <v>0</v>
      </c>
      <c r="AG10" s="4">
        <f t="shared" si="24"/>
        <v>83.273220179160461</v>
      </c>
      <c r="AH10" s="4">
        <f t="shared" si="25"/>
        <v>114.25860443187169</v>
      </c>
      <c r="AI10" s="4">
        <f t="shared" si="26"/>
        <v>44.541489863272027</v>
      </c>
      <c r="AJ10" s="4">
        <f t="shared" si="27"/>
        <v>114.25860443187169</v>
      </c>
      <c r="AK10" s="4">
        <f t="shared" si="28"/>
        <v>63.907355021216411</v>
      </c>
      <c r="AL10" s="4">
        <f t="shared" si="29"/>
        <v>60.034181989627548</v>
      </c>
      <c r="AM10" s="4">
        <v>0</v>
      </c>
      <c r="AN10" s="4">
        <v>0</v>
      </c>
      <c r="AO10" s="4">
        <f t="shared" si="30"/>
        <v>52.287835926449823</v>
      </c>
      <c r="AP10" s="4">
        <f t="shared" si="31"/>
        <v>127.81471004243315</v>
      </c>
      <c r="AQ10" s="4">
        <f t="shared" si="32"/>
        <v>71.653701084394129</v>
      </c>
      <c r="AR10" s="4">
        <f t="shared" si="33"/>
        <v>185.91230551626566</v>
      </c>
      <c r="AS10" s="4">
        <f t="shared" si="34"/>
        <v>34.858557284299827</v>
      </c>
      <c r="AT10" s="4">
        <f t="shared" si="35"/>
        <v>30.985384252710972</v>
      </c>
      <c r="AU10" s="4">
        <f t="shared" si="36"/>
        <v>102.63908533710519</v>
      </c>
      <c r="AV10" s="4">
        <f t="shared" si="37"/>
        <v>54.224422442244219</v>
      </c>
      <c r="AW10" s="4">
        <f t="shared" si="38"/>
        <v>65.843941537010892</v>
      </c>
      <c r="AX10" s="4">
        <f t="shared" si="39"/>
        <v>38.731730315888775</v>
      </c>
      <c r="AY10" s="4">
        <f t="shared" si="40"/>
        <v>168.48302687411589</v>
      </c>
      <c r="AZ10" s="4">
        <f t="shared" si="41"/>
        <v>32.921970768505446</v>
      </c>
      <c r="BA10" s="4">
        <f t="shared" si="42"/>
        <v>32.921970768505446</v>
      </c>
      <c r="BB10" s="4">
        <f t="shared" si="43"/>
        <v>34.858557284299827</v>
      </c>
      <c r="BC10" s="4">
        <f t="shared" si="44"/>
        <v>44.541489863272027</v>
      </c>
      <c r="BD10" s="4">
        <f t="shared" si="45"/>
        <v>218.83427628477102</v>
      </c>
      <c r="BE10" s="4">
        <f t="shared" si="46"/>
        <v>122.0049504950499</v>
      </c>
      <c r="BF10" s="4">
        <f t="shared" si="47"/>
        <v>162.67326732673266</v>
      </c>
      <c r="BG10" s="4">
        <f t="shared" si="48"/>
        <v>23.239038189533247</v>
      </c>
      <c r="BH10" s="4">
        <f t="shared" si="49"/>
        <v>23.239038189533247</v>
      </c>
      <c r="BI10" s="4">
        <f t="shared" si="50"/>
        <v>536.43446487505889</v>
      </c>
      <c r="BJ10" s="4">
        <f t="shared" si="51"/>
        <v>151.05374823196615</v>
      </c>
      <c r="BK10" s="4">
        <v>0</v>
      </c>
      <c r="BL10" s="4">
        <f t="shared" si="52"/>
        <v>149.11716171617203</v>
      </c>
      <c r="BM10" s="4">
        <v>0</v>
      </c>
      <c r="BN10" s="4">
        <v>0</v>
      </c>
      <c r="BO10" s="4">
        <v>0</v>
      </c>
      <c r="BP10" s="4">
        <f t="shared" si="53"/>
        <v>75.526874115982991</v>
      </c>
      <c r="BQ10" s="4">
        <f t="shared" si="54"/>
        <v>54.224422442244219</v>
      </c>
      <c r="BR10" s="4">
        <v>0</v>
      </c>
      <c r="BS10" s="4">
        <v>0</v>
      </c>
      <c r="BT10" s="4">
        <f t="shared" si="55"/>
        <v>127.81471004243315</v>
      </c>
      <c r="BU10" s="4">
        <v>0</v>
      </c>
      <c r="BV10" s="4">
        <f t="shared" si="56"/>
        <v>23.239038189533247</v>
      </c>
      <c r="BW10" s="4">
        <f t="shared" si="57"/>
        <v>11.619519094766583</v>
      </c>
      <c r="BX10" s="4">
        <f t="shared" si="58"/>
        <v>131.68788307402144</v>
      </c>
      <c r="BY10" s="4">
        <f t="shared" si="59"/>
        <v>91.019566242338684</v>
      </c>
      <c r="BZ10" s="4">
        <f t="shared" si="60"/>
        <v>131.68788307402144</v>
      </c>
      <c r="CA10" s="4">
        <f t="shared" si="61"/>
        <v>118.13177746346081</v>
      </c>
      <c r="CB10" s="4">
        <f t="shared" si="62"/>
        <v>137.49764262140468</v>
      </c>
      <c r="CC10" s="4">
        <f t="shared" si="63"/>
        <v>75.526874115982991</v>
      </c>
      <c r="CD10" s="4">
        <f t="shared" si="64"/>
        <v>251.75624705327635</v>
      </c>
      <c r="CE10" s="4">
        <v>0</v>
      </c>
      <c r="CF10" s="4">
        <f t="shared" si="65"/>
        <v>104.57567185289932</v>
      </c>
      <c r="CG10" s="4">
        <f t="shared" si="66"/>
        <v>38.731730315888775</v>
      </c>
      <c r="CH10" s="4">
        <f t="shared" si="67"/>
        <v>21.302451673738776</v>
      </c>
      <c r="CI10" s="4">
        <f t="shared" si="68"/>
        <v>46.478076379066493</v>
      </c>
      <c r="CJ10" s="4">
        <f t="shared" si="69"/>
        <v>40.668316831683164</v>
      </c>
      <c r="CK10" s="4">
        <v>0</v>
      </c>
      <c r="CL10" s="4">
        <f t="shared" si="70"/>
        <v>92.956152758132831</v>
      </c>
      <c r="CM10" s="4">
        <v>0</v>
      </c>
      <c r="CN10" s="4">
        <f t="shared" si="71"/>
        <v>315.66360207449293</v>
      </c>
      <c r="CO10" s="4">
        <f t="shared" si="72"/>
        <v>19.365865157944388</v>
      </c>
      <c r="CP10" s="4">
        <f t="shared" si="73"/>
        <v>125.87812352663818</v>
      </c>
      <c r="CQ10" s="4">
        <f t="shared" si="74"/>
        <v>23.239038189533247</v>
      </c>
      <c r="CR10" s="4">
        <f t="shared" si="75"/>
        <v>58.097595473833081</v>
      </c>
      <c r="CS10" s="4">
        <f t="shared" si="76"/>
        <v>81.336633663366328</v>
      </c>
      <c r="CT10" s="4">
        <f t="shared" si="77"/>
        <v>73.590287600188603</v>
      </c>
      <c r="CU10" s="4">
        <f t="shared" si="78"/>
        <v>29.048797736916583</v>
      </c>
      <c r="CV10" s="4">
        <f t="shared" si="79"/>
        <v>65.843941537010892</v>
      </c>
      <c r="CW10" s="4">
        <f t="shared" si="80"/>
        <v>81.336633663366328</v>
      </c>
      <c r="CX10" s="4">
        <f t="shared" si="81"/>
        <v>71.653701084394129</v>
      </c>
      <c r="CY10" s="4">
        <f t="shared" si="82"/>
        <v>42.604903347477638</v>
      </c>
      <c r="CZ10" s="4">
        <f t="shared" si="83"/>
        <v>9.6829325789721938</v>
      </c>
      <c r="DA10" s="4">
        <f t="shared" si="84"/>
        <v>44.541489863272027</v>
      </c>
      <c r="DB10" s="4">
        <f t="shared" si="85"/>
        <v>73.590287600188603</v>
      </c>
      <c r="DC10" s="4">
        <f t="shared" si="86"/>
        <v>60.034181989627548</v>
      </c>
      <c r="DD10" s="4">
        <f t="shared" si="87"/>
        <v>83.273220179160461</v>
      </c>
      <c r="DE10" s="4">
        <f t="shared" si="88"/>
        <v>96.829325789721949</v>
      </c>
      <c r="DF10" s="4">
        <f t="shared" si="89"/>
        <v>3.8731730315888693</v>
      </c>
      <c r="DG10" s="4">
        <f t="shared" si="90"/>
        <v>15.492692126355527</v>
      </c>
      <c r="DH10" s="4">
        <f t="shared" si="91"/>
        <v>75.526874115982991</v>
      </c>
      <c r="DI10" s="4">
        <v>0</v>
      </c>
      <c r="DJ10" s="4">
        <f t="shared" si="92"/>
        <v>131.68788307402144</v>
      </c>
      <c r="DK10" s="4">
        <f t="shared" si="93"/>
        <v>11.619519094766583</v>
      </c>
      <c r="DL10" s="4">
        <f t="shared" si="94"/>
        <v>15.492692126355527</v>
      </c>
      <c r="DM10" s="4">
        <f t="shared" si="95"/>
        <v>42.604903347477638</v>
      </c>
      <c r="DN10" s="4">
        <f t="shared" si="96"/>
        <v>356.33191890617655</v>
      </c>
      <c r="DO10" s="4">
        <f t="shared" si="97"/>
        <v>38.731730315888775</v>
      </c>
      <c r="DP10" s="4">
        <f t="shared" si="98"/>
        <v>63.907355021216411</v>
      </c>
    </row>
    <row r="11" spans="1:120" x14ac:dyDescent="0.35">
      <c r="A11" s="3">
        <v>10</v>
      </c>
      <c r="B11" s="3">
        <v>8243</v>
      </c>
      <c r="C11" s="3">
        <f t="shared" si="0"/>
        <v>99.102545968882424</v>
      </c>
      <c r="D11" s="4">
        <f t="shared" si="1"/>
        <v>38.86374351720891</v>
      </c>
      <c r="E11" s="4">
        <f t="shared" si="2"/>
        <v>75.784299858557262</v>
      </c>
      <c r="F11" s="4">
        <f t="shared" si="3"/>
        <v>75.784299858557262</v>
      </c>
      <c r="G11" s="4">
        <v>0</v>
      </c>
      <c r="H11" s="4">
        <f t="shared" si="4"/>
        <v>101.04573314474338</v>
      </c>
      <c r="I11" s="4">
        <f t="shared" si="5"/>
        <v>36.920556341348423</v>
      </c>
      <c r="J11" s="4">
        <f t="shared" si="6"/>
        <v>54.409240924092401</v>
      </c>
      <c r="K11" s="4">
        <v>0</v>
      </c>
      <c r="L11" s="4">
        <v>0</v>
      </c>
      <c r="M11" s="4">
        <f t="shared" si="7"/>
        <v>136.02310231023102</v>
      </c>
      <c r="N11" s="4">
        <f t="shared" si="8"/>
        <v>91.329797265441002</v>
      </c>
      <c r="O11" s="4">
        <f t="shared" si="9"/>
        <v>66.068363979255111</v>
      </c>
      <c r="P11" s="4">
        <f t="shared" si="10"/>
        <v>27.204620462046201</v>
      </c>
      <c r="Q11" s="4">
        <f t="shared" si="11"/>
        <v>174.88684582743974</v>
      </c>
      <c r="R11" s="4">
        <f t="shared" si="12"/>
        <v>48.579679396511054</v>
      </c>
      <c r="S11" s="4">
        <f t="shared" si="13"/>
        <v>21.37505893446485</v>
      </c>
      <c r="T11" s="4">
        <f t="shared" si="14"/>
        <v>116.59123055162623</v>
      </c>
      <c r="U11" s="4">
        <f t="shared" si="15"/>
        <v>87.443422913719871</v>
      </c>
      <c r="V11" s="4">
        <f t="shared" si="16"/>
        <v>34.97736916548795</v>
      </c>
      <c r="W11" s="4">
        <f t="shared" si="17"/>
        <v>27.204620462046201</v>
      </c>
      <c r="X11" s="4">
        <f t="shared" si="18"/>
        <v>19.431871758604455</v>
      </c>
      <c r="Y11" s="4">
        <f t="shared" si="19"/>
        <v>13.6023102310231</v>
      </c>
      <c r="Z11" s="4">
        <f t="shared" si="20"/>
        <v>25.261433286185724</v>
      </c>
      <c r="AA11" s="4">
        <v>0</v>
      </c>
      <c r="AB11" s="4">
        <v>0</v>
      </c>
      <c r="AC11" s="4">
        <f t="shared" si="21"/>
        <v>137.96628948609117</v>
      </c>
      <c r="AD11" s="4">
        <f t="shared" si="22"/>
        <v>33.034181989627555</v>
      </c>
      <c r="AE11" s="4">
        <f t="shared" si="23"/>
        <v>46.636492220650652</v>
      </c>
      <c r="AF11" s="4">
        <v>0</v>
      </c>
      <c r="AG11" s="4">
        <f t="shared" si="24"/>
        <v>83.557048561998755</v>
      </c>
      <c r="AH11" s="4">
        <f t="shared" si="25"/>
        <v>114.64804337576608</v>
      </c>
      <c r="AI11" s="4">
        <f t="shared" si="26"/>
        <v>44.693305044790172</v>
      </c>
      <c r="AJ11" s="4">
        <f t="shared" si="27"/>
        <v>114.64804337576608</v>
      </c>
      <c r="AK11" s="4">
        <f t="shared" si="28"/>
        <v>64.125176803394623</v>
      </c>
      <c r="AL11" s="4">
        <f t="shared" si="29"/>
        <v>60.238802451673756</v>
      </c>
      <c r="AM11" s="4">
        <v>0</v>
      </c>
      <c r="AN11" s="4">
        <v>0</v>
      </c>
      <c r="AO11" s="4">
        <f t="shared" si="30"/>
        <v>52.466053748232007</v>
      </c>
      <c r="AP11" s="4">
        <f t="shared" si="31"/>
        <v>128.25035360678959</v>
      </c>
      <c r="AQ11" s="4">
        <f t="shared" si="32"/>
        <v>71.897925506836373</v>
      </c>
      <c r="AR11" s="4">
        <f t="shared" si="33"/>
        <v>186.5459688826023</v>
      </c>
      <c r="AS11" s="4">
        <f t="shared" si="34"/>
        <v>34.97736916548795</v>
      </c>
      <c r="AT11" s="4">
        <f t="shared" si="35"/>
        <v>31.090994813767075</v>
      </c>
      <c r="AU11" s="4">
        <f t="shared" si="36"/>
        <v>102.98892032060353</v>
      </c>
      <c r="AV11" s="4">
        <f t="shared" si="37"/>
        <v>54.409240924092401</v>
      </c>
      <c r="AW11" s="4">
        <f t="shared" si="38"/>
        <v>66.068363979255111</v>
      </c>
      <c r="AX11" s="4">
        <f t="shared" si="39"/>
        <v>38.86374351720891</v>
      </c>
      <c r="AY11" s="4">
        <f t="shared" si="40"/>
        <v>169.05728429985848</v>
      </c>
      <c r="AZ11" s="4">
        <f t="shared" si="41"/>
        <v>33.034181989627555</v>
      </c>
      <c r="BA11" s="4">
        <f t="shared" si="42"/>
        <v>33.034181989627555</v>
      </c>
      <c r="BB11" s="4">
        <f t="shared" si="43"/>
        <v>34.97736916548795</v>
      </c>
      <c r="BC11" s="4">
        <f t="shared" si="44"/>
        <v>44.693305044790172</v>
      </c>
      <c r="BD11" s="4">
        <f t="shared" si="45"/>
        <v>219.58015087222975</v>
      </c>
      <c r="BE11" s="4">
        <f t="shared" si="46"/>
        <v>122.42079207920831</v>
      </c>
      <c r="BF11" s="4">
        <f t="shared" si="47"/>
        <v>163.22772277227719</v>
      </c>
      <c r="BG11" s="4">
        <f t="shared" si="48"/>
        <v>23.318246110325326</v>
      </c>
      <c r="BH11" s="4">
        <f t="shared" si="49"/>
        <v>23.318246110325326</v>
      </c>
      <c r="BI11" s="4">
        <f t="shared" si="50"/>
        <v>538.26284771334269</v>
      </c>
      <c r="BJ11" s="4">
        <f t="shared" si="51"/>
        <v>151.56859971711469</v>
      </c>
      <c r="BK11" s="4">
        <v>0</v>
      </c>
      <c r="BL11" s="4">
        <f t="shared" si="52"/>
        <v>149.62541254125455</v>
      </c>
      <c r="BM11" s="4">
        <v>0</v>
      </c>
      <c r="BN11" s="4">
        <v>0</v>
      </c>
      <c r="BO11" s="4">
        <v>0</v>
      </c>
      <c r="BP11" s="4">
        <f t="shared" si="53"/>
        <v>75.784299858557262</v>
      </c>
      <c r="BQ11" s="4">
        <f t="shared" si="54"/>
        <v>54.409240924092401</v>
      </c>
      <c r="BR11" s="4">
        <v>0</v>
      </c>
      <c r="BS11" s="4">
        <v>0</v>
      </c>
      <c r="BT11" s="4">
        <f t="shared" si="55"/>
        <v>128.25035360678959</v>
      </c>
      <c r="BU11" s="4">
        <v>0</v>
      </c>
      <c r="BV11" s="4">
        <f t="shared" si="56"/>
        <v>23.318246110325326</v>
      </c>
      <c r="BW11" s="4">
        <f t="shared" si="57"/>
        <v>11.659123055162622</v>
      </c>
      <c r="BX11" s="4">
        <f t="shared" si="58"/>
        <v>132.13672795850988</v>
      </c>
      <c r="BY11" s="4">
        <f t="shared" si="59"/>
        <v>91.329797265441002</v>
      </c>
      <c r="BZ11" s="4">
        <f t="shared" si="60"/>
        <v>132.13672795850988</v>
      </c>
      <c r="CA11" s="4">
        <f t="shared" si="61"/>
        <v>118.53441772748721</v>
      </c>
      <c r="CB11" s="4">
        <f t="shared" si="62"/>
        <v>137.96628948609117</v>
      </c>
      <c r="CC11" s="4">
        <f t="shared" si="63"/>
        <v>75.784299858557262</v>
      </c>
      <c r="CD11" s="4">
        <f t="shared" si="64"/>
        <v>252.61433286185724</v>
      </c>
      <c r="CE11" s="4">
        <v>0</v>
      </c>
      <c r="CF11" s="4">
        <f t="shared" si="65"/>
        <v>104.93210749646369</v>
      </c>
      <c r="CG11" s="4">
        <f t="shared" si="66"/>
        <v>38.86374351720891</v>
      </c>
      <c r="CH11" s="4">
        <f t="shared" si="67"/>
        <v>21.37505893446485</v>
      </c>
      <c r="CI11" s="4">
        <f t="shared" si="68"/>
        <v>46.636492220650652</v>
      </c>
      <c r="CJ11" s="4">
        <f t="shared" si="69"/>
        <v>40.806930693069297</v>
      </c>
      <c r="CK11" s="4">
        <v>0</v>
      </c>
      <c r="CL11" s="4">
        <f t="shared" si="70"/>
        <v>93.272984441301148</v>
      </c>
      <c r="CM11" s="4">
        <v>0</v>
      </c>
      <c r="CN11" s="4">
        <f t="shared" si="71"/>
        <v>316.739509665252</v>
      </c>
      <c r="CO11" s="4">
        <f t="shared" si="72"/>
        <v>19.431871758604455</v>
      </c>
      <c r="CP11" s="4">
        <f t="shared" si="73"/>
        <v>126.30716643092862</v>
      </c>
      <c r="CQ11" s="4">
        <f t="shared" si="74"/>
        <v>23.318246110325326</v>
      </c>
      <c r="CR11" s="4">
        <f t="shared" si="75"/>
        <v>58.295615275813276</v>
      </c>
      <c r="CS11" s="4">
        <f t="shared" si="76"/>
        <v>81.613861386138595</v>
      </c>
      <c r="CT11" s="4">
        <f t="shared" si="77"/>
        <v>73.841112682696846</v>
      </c>
      <c r="CU11" s="4">
        <f t="shared" si="78"/>
        <v>29.147807637906681</v>
      </c>
      <c r="CV11" s="4">
        <f t="shared" si="79"/>
        <v>66.068363979255111</v>
      </c>
      <c r="CW11" s="4">
        <f t="shared" si="80"/>
        <v>81.613861386138595</v>
      </c>
      <c r="CX11" s="4">
        <f t="shared" si="81"/>
        <v>71.897925506836373</v>
      </c>
      <c r="CY11" s="4">
        <f t="shared" si="82"/>
        <v>42.750117868929784</v>
      </c>
      <c r="CZ11" s="4">
        <f t="shared" si="83"/>
        <v>9.7159358793022275</v>
      </c>
      <c r="DA11" s="4">
        <f t="shared" si="84"/>
        <v>44.693305044790172</v>
      </c>
      <c r="DB11" s="4">
        <f t="shared" si="85"/>
        <v>73.841112682696846</v>
      </c>
      <c r="DC11" s="4">
        <f t="shared" si="86"/>
        <v>60.238802451673756</v>
      </c>
      <c r="DD11" s="4">
        <f t="shared" si="87"/>
        <v>83.557048561998755</v>
      </c>
      <c r="DE11" s="4">
        <f t="shared" si="88"/>
        <v>97.159358793022278</v>
      </c>
      <c r="DF11" s="4">
        <f t="shared" si="89"/>
        <v>3.8863743517208822</v>
      </c>
      <c r="DG11" s="4">
        <f t="shared" si="90"/>
        <v>15.545497406883579</v>
      </c>
      <c r="DH11" s="4">
        <f t="shared" si="91"/>
        <v>75.784299858557262</v>
      </c>
      <c r="DI11" s="4">
        <v>0</v>
      </c>
      <c r="DJ11" s="4">
        <f t="shared" si="92"/>
        <v>132.13672795850988</v>
      </c>
      <c r="DK11" s="4">
        <f t="shared" si="93"/>
        <v>11.659123055162622</v>
      </c>
      <c r="DL11" s="4">
        <f t="shared" si="94"/>
        <v>15.545497406883579</v>
      </c>
      <c r="DM11" s="4">
        <f t="shared" si="95"/>
        <v>42.750117868929784</v>
      </c>
      <c r="DN11" s="4">
        <f t="shared" si="96"/>
        <v>357.54644035832177</v>
      </c>
      <c r="DO11" s="4">
        <f t="shared" si="97"/>
        <v>38.86374351720891</v>
      </c>
      <c r="DP11" s="4">
        <f t="shared" si="98"/>
        <v>64.125176803394623</v>
      </c>
    </row>
    <row r="12" spans="1:120" x14ac:dyDescent="0.35">
      <c r="A12" s="3">
        <v>11</v>
      </c>
      <c r="B12" s="3">
        <v>8130</v>
      </c>
      <c r="C12" s="3">
        <f t="shared" si="0"/>
        <v>97.743988684582561</v>
      </c>
      <c r="D12" s="4">
        <f t="shared" si="1"/>
        <v>38.330975954738378</v>
      </c>
      <c r="E12" s="4">
        <f t="shared" si="2"/>
        <v>74.745403111739719</v>
      </c>
      <c r="F12" s="4">
        <f t="shared" si="3"/>
        <v>74.745403111739719</v>
      </c>
      <c r="G12" s="4">
        <v>0</v>
      </c>
      <c r="H12" s="4">
        <f t="shared" si="4"/>
        <v>99.660537482319995</v>
      </c>
      <c r="I12" s="4">
        <f t="shared" si="5"/>
        <v>36.41442715700142</v>
      </c>
      <c r="J12" s="4">
        <f t="shared" si="6"/>
        <v>53.663366336633658</v>
      </c>
      <c r="K12" s="4">
        <v>0</v>
      </c>
      <c r="L12" s="4">
        <v>0</v>
      </c>
      <c r="M12" s="4">
        <f t="shared" si="7"/>
        <v>134.15841584158414</v>
      </c>
      <c r="N12" s="4">
        <f t="shared" si="8"/>
        <v>90.077793493635241</v>
      </c>
      <c r="O12" s="4">
        <f t="shared" si="9"/>
        <v>65.162659123055207</v>
      </c>
      <c r="P12" s="4">
        <f t="shared" si="10"/>
        <v>26.831683168316829</v>
      </c>
      <c r="Q12" s="4">
        <f t="shared" si="11"/>
        <v>172.48939179632237</v>
      </c>
      <c r="R12" s="4">
        <f t="shared" si="12"/>
        <v>47.913719943422883</v>
      </c>
      <c r="S12" s="4">
        <f t="shared" si="13"/>
        <v>21.082036775106058</v>
      </c>
      <c r="T12" s="4">
        <f t="shared" si="14"/>
        <v>114.99292786421464</v>
      </c>
      <c r="U12" s="4">
        <f t="shared" si="15"/>
        <v>86.244695898161183</v>
      </c>
      <c r="V12" s="4">
        <f t="shared" si="16"/>
        <v>34.497878359264469</v>
      </c>
      <c r="W12" s="4">
        <f t="shared" si="17"/>
        <v>26.831683168316829</v>
      </c>
      <c r="X12" s="4">
        <f t="shared" si="18"/>
        <v>19.165487977369189</v>
      </c>
      <c r="Y12" s="4">
        <f t="shared" si="19"/>
        <v>13.415841584158414</v>
      </c>
      <c r="Z12" s="4">
        <f t="shared" si="20"/>
        <v>24.915134370579878</v>
      </c>
      <c r="AA12" s="4">
        <v>0</v>
      </c>
      <c r="AB12" s="4">
        <v>0</v>
      </c>
      <c r="AC12" s="4">
        <f t="shared" si="21"/>
        <v>136.07496463932077</v>
      </c>
      <c r="AD12" s="4">
        <f t="shared" si="22"/>
        <v>32.581329561527603</v>
      </c>
      <c r="AE12" s="4">
        <f t="shared" si="23"/>
        <v>45.997171145686011</v>
      </c>
      <c r="AF12" s="4">
        <v>0</v>
      </c>
      <c r="AG12" s="4">
        <f t="shared" si="24"/>
        <v>82.411598302687111</v>
      </c>
      <c r="AH12" s="4">
        <f t="shared" si="25"/>
        <v>113.07637906647801</v>
      </c>
      <c r="AI12" s="4">
        <f t="shared" si="26"/>
        <v>44.08062234794906</v>
      </c>
      <c r="AJ12" s="4">
        <f t="shared" si="27"/>
        <v>113.07637906647801</v>
      </c>
      <c r="AK12" s="4">
        <f t="shared" si="28"/>
        <v>63.246110325318249</v>
      </c>
      <c r="AL12" s="4">
        <f t="shared" si="29"/>
        <v>59.413012729844432</v>
      </c>
      <c r="AM12" s="4">
        <v>0</v>
      </c>
      <c r="AN12" s="4">
        <v>0</v>
      </c>
      <c r="AO12" s="4">
        <f t="shared" si="30"/>
        <v>51.746817538896785</v>
      </c>
      <c r="AP12" s="4">
        <f t="shared" si="31"/>
        <v>126.49222065063682</v>
      </c>
      <c r="AQ12" s="4">
        <f t="shared" si="32"/>
        <v>70.912305516265889</v>
      </c>
      <c r="AR12" s="4">
        <f t="shared" si="33"/>
        <v>183.98868458274373</v>
      </c>
      <c r="AS12" s="4">
        <f t="shared" si="34"/>
        <v>34.497878359264469</v>
      </c>
      <c r="AT12" s="4">
        <f t="shared" si="35"/>
        <v>30.664780763790649</v>
      </c>
      <c r="AU12" s="4">
        <f t="shared" si="36"/>
        <v>101.57708628005662</v>
      </c>
      <c r="AV12" s="4">
        <f t="shared" si="37"/>
        <v>53.663366336633658</v>
      </c>
      <c r="AW12" s="4">
        <f t="shared" si="38"/>
        <v>65.162659123055207</v>
      </c>
      <c r="AX12" s="4">
        <f t="shared" si="39"/>
        <v>38.330975954738378</v>
      </c>
      <c r="AY12" s="4">
        <f t="shared" si="40"/>
        <v>166.73974540311167</v>
      </c>
      <c r="AZ12" s="4">
        <f t="shared" si="41"/>
        <v>32.581329561527603</v>
      </c>
      <c r="BA12" s="4">
        <f t="shared" si="42"/>
        <v>32.581329561527603</v>
      </c>
      <c r="BB12" s="4">
        <f t="shared" si="43"/>
        <v>34.497878359264469</v>
      </c>
      <c r="BC12" s="4">
        <f t="shared" si="44"/>
        <v>44.08062234794906</v>
      </c>
      <c r="BD12" s="4">
        <f t="shared" si="45"/>
        <v>216.57001414427125</v>
      </c>
      <c r="BE12" s="4">
        <f t="shared" si="46"/>
        <v>120.74257425742613</v>
      </c>
      <c r="BF12" s="4">
        <f t="shared" si="47"/>
        <v>160.99009900990097</v>
      </c>
      <c r="BG12" s="4">
        <f t="shared" si="48"/>
        <v>22.998585572843005</v>
      </c>
      <c r="BH12" s="4">
        <f t="shared" si="49"/>
        <v>22.998585572843005</v>
      </c>
      <c r="BI12" s="4">
        <f t="shared" si="50"/>
        <v>530.88401697312588</v>
      </c>
      <c r="BJ12" s="4">
        <f t="shared" si="51"/>
        <v>149.49080622347961</v>
      </c>
      <c r="BK12" s="4">
        <v>0</v>
      </c>
      <c r="BL12" s="4">
        <f t="shared" si="52"/>
        <v>147.57425742574299</v>
      </c>
      <c r="BM12" s="4">
        <v>0</v>
      </c>
      <c r="BN12" s="4">
        <v>0</v>
      </c>
      <c r="BO12" s="4">
        <v>0</v>
      </c>
      <c r="BP12" s="4">
        <f t="shared" si="53"/>
        <v>74.745403111739719</v>
      </c>
      <c r="BQ12" s="4">
        <f t="shared" si="54"/>
        <v>53.663366336633658</v>
      </c>
      <c r="BR12" s="4">
        <v>0</v>
      </c>
      <c r="BS12" s="4">
        <v>0</v>
      </c>
      <c r="BT12" s="4">
        <f t="shared" si="55"/>
        <v>126.49222065063682</v>
      </c>
      <c r="BU12" s="4">
        <v>0</v>
      </c>
      <c r="BV12" s="4">
        <f t="shared" si="56"/>
        <v>22.998585572843005</v>
      </c>
      <c r="BW12" s="4">
        <f t="shared" si="57"/>
        <v>11.499292786421462</v>
      </c>
      <c r="BX12" s="4">
        <f t="shared" si="58"/>
        <v>130.32531824611007</v>
      </c>
      <c r="BY12" s="4">
        <f t="shared" si="59"/>
        <v>90.077793493635241</v>
      </c>
      <c r="BZ12" s="4">
        <f t="shared" si="60"/>
        <v>130.32531824611007</v>
      </c>
      <c r="CA12" s="4">
        <f t="shared" si="61"/>
        <v>116.90947666195208</v>
      </c>
      <c r="CB12" s="4">
        <f t="shared" si="62"/>
        <v>136.07496463932077</v>
      </c>
      <c r="CC12" s="4">
        <f t="shared" si="63"/>
        <v>74.745403111739719</v>
      </c>
      <c r="CD12" s="4">
        <f t="shared" si="64"/>
        <v>249.15134370579875</v>
      </c>
      <c r="CE12" s="4">
        <v>0</v>
      </c>
      <c r="CF12" s="4">
        <f t="shared" si="65"/>
        <v>103.49363507779324</v>
      </c>
      <c r="CG12" s="4">
        <f t="shared" si="66"/>
        <v>38.330975954738378</v>
      </c>
      <c r="CH12" s="4">
        <f t="shared" si="67"/>
        <v>21.082036775106058</v>
      </c>
      <c r="CI12" s="4">
        <f t="shared" si="68"/>
        <v>45.997171145686011</v>
      </c>
      <c r="CJ12" s="4">
        <f t="shared" si="69"/>
        <v>40.247524752475243</v>
      </c>
      <c r="CK12" s="4">
        <v>0</v>
      </c>
      <c r="CL12" s="4">
        <f t="shared" si="70"/>
        <v>91.994342291371865</v>
      </c>
      <c r="CM12" s="4">
        <v>0</v>
      </c>
      <c r="CN12" s="4">
        <f t="shared" si="71"/>
        <v>312.39745403111715</v>
      </c>
      <c r="CO12" s="4">
        <f t="shared" si="72"/>
        <v>19.165487977369189</v>
      </c>
      <c r="CP12" s="4">
        <f t="shared" si="73"/>
        <v>124.57567185289938</v>
      </c>
      <c r="CQ12" s="4">
        <f t="shared" si="74"/>
        <v>22.998585572843005</v>
      </c>
      <c r="CR12" s="4">
        <f t="shared" si="75"/>
        <v>57.496463932107481</v>
      </c>
      <c r="CS12" s="4">
        <f t="shared" si="76"/>
        <v>80.495049504950487</v>
      </c>
      <c r="CT12" s="4">
        <f t="shared" si="77"/>
        <v>72.828854314002839</v>
      </c>
      <c r="CU12" s="4">
        <f t="shared" si="78"/>
        <v>28.748231966053783</v>
      </c>
      <c r="CV12" s="4">
        <f t="shared" si="79"/>
        <v>65.162659123055207</v>
      </c>
      <c r="CW12" s="4">
        <f t="shared" si="80"/>
        <v>80.495049504950487</v>
      </c>
      <c r="CX12" s="4">
        <f t="shared" si="81"/>
        <v>70.912305516265889</v>
      </c>
      <c r="CY12" s="4">
        <f t="shared" si="82"/>
        <v>42.164073550212201</v>
      </c>
      <c r="CZ12" s="4">
        <f t="shared" si="83"/>
        <v>9.5827439886845944</v>
      </c>
      <c r="DA12" s="4">
        <f t="shared" si="84"/>
        <v>44.08062234794906</v>
      </c>
      <c r="DB12" s="4">
        <f t="shared" si="85"/>
        <v>72.828854314002839</v>
      </c>
      <c r="DC12" s="4">
        <f t="shared" si="86"/>
        <v>59.413012729844432</v>
      </c>
      <c r="DD12" s="4">
        <f t="shared" si="87"/>
        <v>82.411598302687111</v>
      </c>
      <c r="DE12" s="4">
        <f t="shared" si="88"/>
        <v>95.827439886845937</v>
      </c>
      <c r="DF12" s="4">
        <f t="shared" si="89"/>
        <v>3.8330975954738293</v>
      </c>
      <c r="DG12" s="4">
        <f t="shared" si="90"/>
        <v>15.332390381895365</v>
      </c>
      <c r="DH12" s="4">
        <f t="shared" si="91"/>
        <v>74.745403111739719</v>
      </c>
      <c r="DI12" s="4">
        <v>0</v>
      </c>
      <c r="DJ12" s="4">
        <f t="shared" si="92"/>
        <v>130.32531824611007</v>
      </c>
      <c r="DK12" s="4">
        <f t="shared" si="93"/>
        <v>11.499292786421462</v>
      </c>
      <c r="DL12" s="4">
        <f t="shared" si="94"/>
        <v>15.332390381895365</v>
      </c>
      <c r="DM12" s="4">
        <f t="shared" si="95"/>
        <v>42.164073550212201</v>
      </c>
      <c r="DN12" s="4">
        <f t="shared" si="96"/>
        <v>352.64497878359282</v>
      </c>
      <c r="DO12" s="4">
        <f t="shared" si="97"/>
        <v>38.330975954738378</v>
      </c>
      <c r="DP12" s="4">
        <f t="shared" si="98"/>
        <v>63.246110325318249</v>
      </c>
    </row>
    <row r="13" spans="1:120" x14ac:dyDescent="0.35">
      <c r="A13" s="3">
        <v>12</v>
      </c>
      <c r="B13" s="3">
        <v>7818</v>
      </c>
      <c r="C13" s="3">
        <f t="shared" si="0"/>
        <v>93.99292786421482</v>
      </c>
      <c r="D13" s="4">
        <f t="shared" si="1"/>
        <v>36.8599717114569</v>
      </c>
      <c r="E13" s="4">
        <f t="shared" si="2"/>
        <v>71.876944837340844</v>
      </c>
      <c r="F13" s="4">
        <f t="shared" si="3"/>
        <v>71.876944837340844</v>
      </c>
      <c r="G13" s="4">
        <v>0</v>
      </c>
      <c r="H13" s="4">
        <f t="shared" si="4"/>
        <v>95.835926449788161</v>
      </c>
      <c r="I13" s="4">
        <f t="shared" si="5"/>
        <v>35.016973125884022</v>
      </c>
      <c r="J13" s="4">
        <f t="shared" si="6"/>
        <v>51.603960396039597</v>
      </c>
      <c r="K13" s="4">
        <v>0</v>
      </c>
      <c r="L13" s="4">
        <v>0</v>
      </c>
      <c r="M13" s="4">
        <f t="shared" si="7"/>
        <v>129.009900990099</v>
      </c>
      <c r="N13" s="4">
        <f t="shared" si="8"/>
        <v>86.620933521923789</v>
      </c>
      <c r="O13" s="4">
        <f t="shared" si="9"/>
        <v>62.661951909476706</v>
      </c>
      <c r="P13" s="4">
        <f t="shared" si="10"/>
        <v>25.801980198019798</v>
      </c>
      <c r="Q13" s="4">
        <f t="shared" si="11"/>
        <v>165.86987270155575</v>
      </c>
      <c r="R13" s="4">
        <f t="shared" si="12"/>
        <v>46.074964639321045</v>
      </c>
      <c r="S13" s="4">
        <f t="shared" si="13"/>
        <v>20.272984441301247</v>
      </c>
      <c r="T13" s="4">
        <f t="shared" si="14"/>
        <v>110.57991513437024</v>
      </c>
      <c r="U13" s="4">
        <f t="shared" si="15"/>
        <v>82.934936350777875</v>
      </c>
      <c r="V13" s="4">
        <f t="shared" si="16"/>
        <v>33.173974540311143</v>
      </c>
      <c r="W13" s="4">
        <f t="shared" si="17"/>
        <v>25.801980198019798</v>
      </c>
      <c r="X13" s="4">
        <f t="shared" si="18"/>
        <v>18.42998585572845</v>
      </c>
      <c r="Y13" s="4">
        <f t="shared" si="19"/>
        <v>12.900990099009899</v>
      </c>
      <c r="Z13" s="4">
        <f t="shared" si="20"/>
        <v>23.958981612446923</v>
      </c>
      <c r="AA13" s="4">
        <v>0</v>
      </c>
      <c r="AB13" s="4">
        <v>0</v>
      </c>
      <c r="AC13" s="4">
        <f t="shared" si="21"/>
        <v>130.85289957567156</v>
      </c>
      <c r="AD13" s="4">
        <f t="shared" si="22"/>
        <v>31.330975954738353</v>
      </c>
      <c r="AE13" s="4">
        <f t="shared" si="23"/>
        <v>44.231966053748245</v>
      </c>
      <c r="AF13" s="4">
        <v>0</v>
      </c>
      <c r="AG13" s="4">
        <f t="shared" si="24"/>
        <v>79.248939179631961</v>
      </c>
      <c r="AH13" s="4">
        <f t="shared" si="25"/>
        <v>108.73691654879767</v>
      </c>
      <c r="AI13" s="4">
        <f t="shared" si="26"/>
        <v>42.388967468175373</v>
      </c>
      <c r="AJ13" s="4">
        <f t="shared" si="27"/>
        <v>108.73691654879767</v>
      </c>
      <c r="AK13" s="4">
        <f t="shared" si="28"/>
        <v>60.818953323903827</v>
      </c>
      <c r="AL13" s="4">
        <f t="shared" si="29"/>
        <v>57.132956152758148</v>
      </c>
      <c r="AM13" s="4">
        <v>0</v>
      </c>
      <c r="AN13" s="4">
        <v>0</v>
      </c>
      <c r="AO13" s="4">
        <f t="shared" si="30"/>
        <v>49.760961810466796</v>
      </c>
      <c r="AP13" s="4">
        <f t="shared" si="31"/>
        <v>121.63790664780795</v>
      </c>
      <c r="AQ13" s="4">
        <f t="shared" si="32"/>
        <v>68.190947666195171</v>
      </c>
      <c r="AR13" s="4">
        <f t="shared" si="33"/>
        <v>176.9278642149927</v>
      </c>
      <c r="AS13" s="4">
        <f t="shared" si="34"/>
        <v>33.173974540311143</v>
      </c>
      <c r="AT13" s="4">
        <f t="shared" si="35"/>
        <v>29.487977369165474</v>
      </c>
      <c r="AU13" s="4">
        <f t="shared" si="36"/>
        <v>97.67892503536072</v>
      </c>
      <c r="AV13" s="4">
        <f t="shared" si="37"/>
        <v>51.603960396039597</v>
      </c>
      <c r="AW13" s="4">
        <f t="shared" si="38"/>
        <v>62.661951909476706</v>
      </c>
      <c r="AX13" s="4">
        <f t="shared" si="39"/>
        <v>36.8599717114569</v>
      </c>
      <c r="AY13" s="4">
        <f t="shared" si="40"/>
        <v>160.34087694483728</v>
      </c>
      <c r="AZ13" s="4">
        <f t="shared" si="41"/>
        <v>31.330975954738353</v>
      </c>
      <c r="BA13" s="4">
        <f t="shared" si="42"/>
        <v>31.330975954738353</v>
      </c>
      <c r="BB13" s="4">
        <f t="shared" si="43"/>
        <v>33.173974540311143</v>
      </c>
      <c r="BC13" s="4">
        <f t="shared" si="44"/>
        <v>42.388967468175373</v>
      </c>
      <c r="BD13" s="4">
        <f t="shared" si="45"/>
        <v>208.25884016973095</v>
      </c>
      <c r="BE13" s="4">
        <f t="shared" si="46"/>
        <v>116.10891089108948</v>
      </c>
      <c r="BF13" s="4">
        <f t="shared" si="47"/>
        <v>154.81188118811878</v>
      </c>
      <c r="BG13" s="4">
        <f t="shared" si="48"/>
        <v>22.115983026874122</v>
      </c>
      <c r="BH13" s="4">
        <f t="shared" si="49"/>
        <v>22.115983026874122</v>
      </c>
      <c r="BI13" s="4">
        <f t="shared" si="50"/>
        <v>510.51060820367746</v>
      </c>
      <c r="BJ13" s="4">
        <f t="shared" si="51"/>
        <v>143.75388967468186</v>
      </c>
      <c r="BK13" s="4">
        <v>0</v>
      </c>
      <c r="BL13" s="4">
        <f t="shared" si="52"/>
        <v>141.9108910891093</v>
      </c>
      <c r="BM13" s="4">
        <v>0</v>
      </c>
      <c r="BN13" s="4">
        <v>0</v>
      </c>
      <c r="BO13" s="4">
        <v>0</v>
      </c>
      <c r="BP13" s="4">
        <f t="shared" si="53"/>
        <v>71.876944837340844</v>
      </c>
      <c r="BQ13" s="4">
        <f t="shared" si="54"/>
        <v>51.603960396039597</v>
      </c>
      <c r="BR13" s="4">
        <v>0</v>
      </c>
      <c r="BS13" s="4">
        <v>0</v>
      </c>
      <c r="BT13" s="4">
        <f t="shared" si="55"/>
        <v>121.63790664780795</v>
      </c>
      <c r="BU13" s="4">
        <v>0</v>
      </c>
      <c r="BV13" s="4">
        <f t="shared" si="56"/>
        <v>22.115983026874122</v>
      </c>
      <c r="BW13" s="4">
        <f t="shared" si="57"/>
        <v>11.057991513437022</v>
      </c>
      <c r="BX13" s="4">
        <f t="shared" si="58"/>
        <v>125.32390381895308</v>
      </c>
      <c r="BY13" s="4">
        <f t="shared" si="59"/>
        <v>86.620933521923789</v>
      </c>
      <c r="BZ13" s="4">
        <f t="shared" si="60"/>
        <v>125.32390381895308</v>
      </c>
      <c r="CA13" s="4">
        <f t="shared" si="61"/>
        <v>112.42291371994358</v>
      </c>
      <c r="CB13" s="4">
        <f t="shared" si="62"/>
        <v>130.85289957567156</v>
      </c>
      <c r="CC13" s="4">
        <f t="shared" si="63"/>
        <v>71.876944837340844</v>
      </c>
      <c r="CD13" s="4">
        <f t="shared" si="64"/>
        <v>239.58981612446922</v>
      </c>
      <c r="CE13" s="4">
        <v>0</v>
      </c>
      <c r="CF13" s="4">
        <f t="shared" si="65"/>
        <v>99.521923620933279</v>
      </c>
      <c r="CG13" s="4">
        <f t="shared" si="66"/>
        <v>36.8599717114569</v>
      </c>
      <c r="CH13" s="4">
        <f t="shared" si="67"/>
        <v>20.272984441301247</v>
      </c>
      <c r="CI13" s="4">
        <f t="shared" si="68"/>
        <v>44.231966053748245</v>
      </c>
      <c r="CJ13" s="4">
        <f t="shared" si="69"/>
        <v>38.702970297029694</v>
      </c>
      <c r="CK13" s="4">
        <v>0</v>
      </c>
      <c r="CL13" s="4">
        <f t="shared" si="70"/>
        <v>88.463932107496348</v>
      </c>
      <c r="CM13" s="4">
        <v>0</v>
      </c>
      <c r="CN13" s="4">
        <f t="shared" si="71"/>
        <v>300.40876944837316</v>
      </c>
      <c r="CO13" s="4">
        <f t="shared" si="72"/>
        <v>18.42998585572845</v>
      </c>
      <c r="CP13" s="4">
        <f t="shared" si="73"/>
        <v>119.79490806223461</v>
      </c>
      <c r="CQ13" s="4">
        <f t="shared" si="74"/>
        <v>22.115983026874122</v>
      </c>
      <c r="CR13" s="4">
        <f t="shared" si="75"/>
        <v>55.289957567185276</v>
      </c>
      <c r="CS13" s="4">
        <f t="shared" si="76"/>
        <v>77.405940594059388</v>
      </c>
      <c r="CT13" s="4">
        <f t="shared" si="77"/>
        <v>70.033946251768043</v>
      </c>
      <c r="CU13" s="4">
        <f t="shared" si="78"/>
        <v>27.644978783592677</v>
      </c>
      <c r="CV13" s="4">
        <f t="shared" si="79"/>
        <v>62.661951909476706</v>
      </c>
      <c r="CW13" s="4">
        <f t="shared" si="80"/>
        <v>77.405940594059388</v>
      </c>
      <c r="CX13" s="4">
        <f t="shared" si="81"/>
        <v>68.190947666195171</v>
      </c>
      <c r="CY13" s="4">
        <f t="shared" si="82"/>
        <v>40.54596888260258</v>
      </c>
      <c r="CZ13" s="4">
        <f t="shared" si="83"/>
        <v>9.2149929278642251</v>
      </c>
      <c r="DA13" s="4">
        <f t="shared" si="84"/>
        <v>42.388967468175373</v>
      </c>
      <c r="DB13" s="4">
        <f t="shared" si="85"/>
        <v>70.033946251768043</v>
      </c>
      <c r="DC13" s="4">
        <f t="shared" si="86"/>
        <v>57.132956152758148</v>
      </c>
      <c r="DD13" s="4">
        <f t="shared" si="87"/>
        <v>79.248939179631961</v>
      </c>
      <c r="DE13" s="4">
        <f t="shared" si="88"/>
        <v>92.149929278642261</v>
      </c>
      <c r="DF13" s="4">
        <f t="shared" si="89"/>
        <v>3.685997171145682</v>
      </c>
      <c r="DG13" s="4">
        <f t="shared" si="90"/>
        <v>14.743988684582776</v>
      </c>
      <c r="DH13" s="4">
        <f t="shared" si="91"/>
        <v>71.876944837340844</v>
      </c>
      <c r="DI13" s="4">
        <v>0</v>
      </c>
      <c r="DJ13" s="4">
        <f t="shared" si="92"/>
        <v>125.32390381895308</v>
      </c>
      <c r="DK13" s="4">
        <f t="shared" si="93"/>
        <v>11.057991513437022</v>
      </c>
      <c r="DL13" s="4">
        <f t="shared" si="94"/>
        <v>14.743988684582776</v>
      </c>
      <c r="DM13" s="4">
        <f t="shared" si="95"/>
        <v>40.54596888260258</v>
      </c>
      <c r="DN13" s="4">
        <f t="shared" si="96"/>
        <v>339.11173974540333</v>
      </c>
      <c r="DO13" s="4">
        <f t="shared" si="97"/>
        <v>36.8599717114569</v>
      </c>
      <c r="DP13" s="4">
        <f t="shared" si="98"/>
        <v>60.818953323903827</v>
      </c>
    </row>
    <row r="14" spans="1:120" x14ac:dyDescent="0.35">
      <c r="A14" s="3">
        <v>13</v>
      </c>
      <c r="B14" s="3">
        <v>7832</v>
      </c>
      <c r="C14" s="3">
        <f t="shared" si="0"/>
        <v>94.161244695897992</v>
      </c>
      <c r="D14" s="4">
        <f t="shared" si="1"/>
        <v>36.925978312116968</v>
      </c>
      <c r="E14" s="4">
        <f t="shared" si="2"/>
        <v>72.005657708627979</v>
      </c>
      <c r="F14" s="4">
        <f t="shared" si="3"/>
        <v>72.005657708627979</v>
      </c>
      <c r="G14" s="4">
        <v>0</v>
      </c>
      <c r="H14" s="4">
        <f t="shared" si="4"/>
        <v>96.007543611504332</v>
      </c>
      <c r="I14" s="4">
        <f t="shared" si="5"/>
        <v>35.079679396511082</v>
      </c>
      <c r="J14" s="4">
        <f t="shared" si="6"/>
        <v>51.696369636963688</v>
      </c>
      <c r="K14" s="4">
        <v>0</v>
      </c>
      <c r="L14" s="4">
        <v>0</v>
      </c>
      <c r="M14" s="4">
        <f t="shared" si="7"/>
        <v>129.24092409240922</v>
      </c>
      <c r="N14" s="4">
        <f t="shared" si="8"/>
        <v>86.776049033474933</v>
      </c>
      <c r="O14" s="4">
        <f t="shared" si="9"/>
        <v>62.774163130598815</v>
      </c>
      <c r="P14" s="4">
        <f t="shared" si="10"/>
        <v>25.848184818481844</v>
      </c>
      <c r="Q14" s="4">
        <f t="shared" si="11"/>
        <v>166.16690240452604</v>
      </c>
      <c r="R14" s="4">
        <f t="shared" si="12"/>
        <v>46.157472890146131</v>
      </c>
      <c r="S14" s="4">
        <f t="shared" si="13"/>
        <v>20.309288071664284</v>
      </c>
      <c r="T14" s="4">
        <f t="shared" si="14"/>
        <v>110.77793493635043</v>
      </c>
      <c r="U14" s="4">
        <f t="shared" si="15"/>
        <v>83.083451202263021</v>
      </c>
      <c r="V14" s="4">
        <f t="shared" si="16"/>
        <v>33.233380480905204</v>
      </c>
      <c r="W14" s="4">
        <f t="shared" si="17"/>
        <v>25.848184818481844</v>
      </c>
      <c r="X14" s="4">
        <f t="shared" si="18"/>
        <v>18.462989156058484</v>
      </c>
      <c r="Y14" s="4">
        <f t="shared" si="19"/>
        <v>12.924092409240922</v>
      </c>
      <c r="Z14" s="4">
        <f t="shared" si="20"/>
        <v>24.001885902875966</v>
      </c>
      <c r="AA14" s="4">
        <v>0</v>
      </c>
      <c r="AB14" s="4">
        <v>0</v>
      </c>
      <c r="AC14" s="4">
        <f t="shared" si="21"/>
        <v>131.0872230080148</v>
      </c>
      <c r="AD14" s="4">
        <f t="shared" si="22"/>
        <v>31.387081565299408</v>
      </c>
      <c r="AE14" s="4">
        <f t="shared" si="23"/>
        <v>44.311173974540324</v>
      </c>
      <c r="AF14" s="4">
        <v>0</v>
      </c>
      <c r="AG14" s="4">
        <f t="shared" si="24"/>
        <v>79.390853371051094</v>
      </c>
      <c r="AH14" s="4">
        <f t="shared" si="25"/>
        <v>108.93163602074486</v>
      </c>
      <c r="AI14" s="4">
        <f t="shared" si="26"/>
        <v>42.464875058934446</v>
      </c>
      <c r="AJ14" s="4">
        <f t="shared" si="27"/>
        <v>108.93163602074486</v>
      </c>
      <c r="AK14" s="4">
        <f t="shared" si="28"/>
        <v>60.92786421499293</v>
      </c>
      <c r="AL14" s="4">
        <f t="shared" si="29"/>
        <v>57.235266383781251</v>
      </c>
      <c r="AM14" s="4">
        <v>0</v>
      </c>
      <c r="AN14" s="4">
        <v>0</v>
      </c>
      <c r="AO14" s="4">
        <f t="shared" si="30"/>
        <v>49.850070721357888</v>
      </c>
      <c r="AP14" s="4">
        <f t="shared" si="31"/>
        <v>121.85572842998617</v>
      </c>
      <c r="AQ14" s="4">
        <f t="shared" si="32"/>
        <v>68.313059877416293</v>
      </c>
      <c r="AR14" s="4">
        <f t="shared" si="33"/>
        <v>177.24469589816101</v>
      </c>
      <c r="AS14" s="4">
        <f t="shared" si="34"/>
        <v>33.233380480905204</v>
      </c>
      <c r="AT14" s="4">
        <f t="shared" si="35"/>
        <v>29.540782649693526</v>
      </c>
      <c r="AU14" s="4">
        <f t="shared" si="36"/>
        <v>97.85384252710989</v>
      </c>
      <c r="AV14" s="4">
        <f t="shared" si="37"/>
        <v>51.696369636963688</v>
      </c>
      <c r="AW14" s="4">
        <f t="shared" si="38"/>
        <v>62.774163130598815</v>
      </c>
      <c r="AX14" s="4">
        <f t="shared" si="39"/>
        <v>36.925978312116968</v>
      </c>
      <c r="AY14" s="4">
        <f t="shared" si="40"/>
        <v>160.62800565770854</v>
      </c>
      <c r="AZ14" s="4">
        <f t="shared" si="41"/>
        <v>31.387081565299408</v>
      </c>
      <c r="BA14" s="4">
        <f t="shared" si="42"/>
        <v>31.387081565299408</v>
      </c>
      <c r="BB14" s="4">
        <f t="shared" si="43"/>
        <v>33.233380480905204</v>
      </c>
      <c r="BC14" s="4">
        <f t="shared" si="44"/>
        <v>42.464875058934446</v>
      </c>
      <c r="BD14" s="4">
        <f t="shared" si="45"/>
        <v>208.63177746346034</v>
      </c>
      <c r="BE14" s="4">
        <f t="shared" si="46"/>
        <v>116.31683168316869</v>
      </c>
      <c r="BF14" s="4">
        <f t="shared" si="47"/>
        <v>155.08910891089107</v>
      </c>
      <c r="BG14" s="4">
        <f t="shared" si="48"/>
        <v>22.155586987270162</v>
      </c>
      <c r="BH14" s="4">
        <f t="shared" si="49"/>
        <v>22.155586987270162</v>
      </c>
      <c r="BI14" s="4">
        <f t="shared" si="50"/>
        <v>511.42479962281942</v>
      </c>
      <c r="BJ14" s="4">
        <f t="shared" si="51"/>
        <v>144.01131541725613</v>
      </c>
      <c r="BK14" s="4">
        <v>0</v>
      </c>
      <c r="BL14" s="4">
        <f t="shared" si="52"/>
        <v>142.16501650165054</v>
      </c>
      <c r="BM14" s="4">
        <v>0</v>
      </c>
      <c r="BN14" s="4">
        <v>0</v>
      </c>
      <c r="BO14" s="4">
        <v>0</v>
      </c>
      <c r="BP14" s="4">
        <f t="shared" si="53"/>
        <v>72.005657708627979</v>
      </c>
      <c r="BQ14" s="4">
        <f t="shared" si="54"/>
        <v>51.696369636963688</v>
      </c>
      <c r="BR14" s="4">
        <v>0</v>
      </c>
      <c r="BS14" s="4">
        <v>0</v>
      </c>
      <c r="BT14" s="4">
        <f t="shared" si="55"/>
        <v>121.85572842998617</v>
      </c>
      <c r="BU14" s="4">
        <v>0</v>
      </c>
      <c r="BV14" s="4">
        <f t="shared" si="56"/>
        <v>22.155586987270162</v>
      </c>
      <c r="BW14" s="4">
        <f t="shared" si="57"/>
        <v>11.077793493635042</v>
      </c>
      <c r="BX14" s="4">
        <f t="shared" si="58"/>
        <v>125.5483262611973</v>
      </c>
      <c r="BY14" s="4">
        <f t="shared" si="59"/>
        <v>86.776049033474933</v>
      </c>
      <c r="BZ14" s="4">
        <f t="shared" si="60"/>
        <v>125.5483262611973</v>
      </c>
      <c r="CA14" s="4">
        <f t="shared" si="61"/>
        <v>112.62423385195679</v>
      </c>
      <c r="CB14" s="4">
        <f t="shared" si="62"/>
        <v>131.0872230080148</v>
      </c>
      <c r="CC14" s="4">
        <f t="shared" si="63"/>
        <v>72.005657708627979</v>
      </c>
      <c r="CD14" s="4">
        <f t="shared" si="64"/>
        <v>240.01885902875964</v>
      </c>
      <c r="CE14" s="4">
        <v>0</v>
      </c>
      <c r="CF14" s="4">
        <f t="shared" si="65"/>
        <v>99.700141442715463</v>
      </c>
      <c r="CG14" s="4">
        <f t="shared" si="66"/>
        <v>36.925978312116968</v>
      </c>
      <c r="CH14" s="4">
        <f t="shared" si="67"/>
        <v>20.309288071664284</v>
      </c>
      <c r="CI14" s="4">
        <f t="shared" si="68"/>
        <v>44.311173974540324</v>
      </c>
      <c r="CJ14" s="4">
        <f t="shared" si="69"/>
        <v>38.772277227722768</v>
      </c>
      <c r="CK14" s="4">
        <v>0</v>
      </c>
      <c r="CL14" s="4">
        <f t="shared" si="70"/>
        <v>88.622347949080506</v>
      </c>
      <c r="CM14" s="4">
        <v>0</v>
      </c>
      <c r="CN14" s="4">
        <f t="shared" si="71"/>
        <v>300.94672324375273</v>
      </c>
      <c r="CO14" s="4">
        <f t="shared" si="72"/>
        <v>18.462989156058484</v>
      </c>
      <c r="CP14" s="4">
        <f t="shared" si="73"/>
        <v>120.00942951437982</v>
      </c>
      <c r="CQ14" s="4">
        <f t="shared" si="74"/>
        <v>22.155586987270162</v>
      </c>
      <c r="CR14" s="4">
        <f t="shared" si="75"/>
        <v>55.388967468175373</v>
      </c>
      <c r="CS14" s="4">
        <f t="shared" si="76"/>
        <v>77.544554455445535</v>
      </c>
      <c r="CT14" s="4">
        <f t="shared" si="77"/>
        <v>70.159358793022164</v>
      </c>
      <c r="CU14" s="4">
        <f t="shared" si="78"/>
        <v>27.694483734087726</v>
      </c>
      <c r="CV14" s="4">
        <f t="shared" si="79"/>
        <v>62.774163130598815</v>
      </c>
      <c r="CW14" s="4">
        <f t="shared" si="80"/>
        <v>77.544554455445535</v>
      </c>
      <c r="CX14" s="4">
        <f t="shared" si="81"/>
        <v>68.313059877416293</v>
      </c>
      <c r="CY14" s="4">
        <f t="shared" si="82"/>
        <v>40.618576143328653</v>
      </c>
      <c r="CZ14" s="4">
        <f t="shared" si="83"/>
        <v>9.2314945780292419</v>
      </c>
      <c r="DA14" s="4">
        <f t="shared" si="84"/>
        <v>42.464875058934446</v>
      </c>
      <c r="DB14" s="4">
        <f t="shared" si="85"/>
        <v>70.159358793022164</v>
      </c>
      <c r="DC14" s="4">
        <f t="shared" si="86"/>
        <v>57.235266383781251</v>
      </c>
      <c r="DD14" s="4">
        <f t="shared" si="87"/>
        <v>79.390853371051094</v>
      </c>
      <c r="DE14" s="4">
        <f t="shared" si="88"/>
        <v>92.314945780292419</v>
      </c>
      <c r="DF14" s="4">
        <f t="shared" si="89"/>
        <v>3.6925978312116889</v>
      </c>
      <c r="DG14" s="4">
        <f t="shared" si="90"/>
        <v>14.770391324846802</v>
      </c>
      <c r="DH14" s="4">
        <f t="shared" si="91"/>
        <v>72.005657708627979</v>
      </c>
      <c r="DI14" s="4">
        <v>0</v>
      </c>
      <c r="DJ14" s="4">
        <f t="shared" si="92"/>
        <v>125.5483262611973</v>
      </c>
      <c r="DK14" s="4">
        <f t="shared" si="93"/>
        <v>11.077793493635042</v>
      </c>
      <c r="DL14" s="4">
        <f t="shared" si="94"/>
        <v>14.770391324846802</v>
      </c>
      <c r="DM14" s="4">
        <f t="shared" si="95"/>
        <v>40.618576143328653</v>
      </c>
      <c r="DN14" s="4">
        <f t="shared" si="96"/>
        <v>339.71900047147591</v>
      </c>
      <c r="DO14" s="4">
        <f t="shared" si="97"/>
        <v>36.925978312116968</v>
      </c>
      <c r="DP14" s="4">
        <f t="shared" si="98"/>
        <v>60.92786421499293</v>
      </c>
    </row>
    <row r="15" spans="1:120" x14ac:dyDescent="0.35">
      <c r="A15" s="3">
        <v>14</v>
      </c>
      <c r="B15" s="3">
        <v>7956</v>
      </c>
      <c r="C15" s="3">
        <f t="shared" si="0"/>
        <v>95.652050919377473</v>
      </c>
      <c r="D15" s="4">
        <f t="shared" si="1"/>
        <v>37.510608203677556</v>
      </c>
      <c r="E15" s="4">
        <f t="shared" si="2"/>
        <v>73.145685997171114</v>
      </c>
      <c r="F15" s="4">
        <f t="shared" si="3"/>
        <v>73.145685997171114</v>
      </c>
      <c r="G15" s="4">
        <v>0</v>
      </c>
      <c r="H15" s="4">
        <f t="shared" si="4"/>
        <v>97.527581329561855</v>
      </c>
      <c r="I15" s="4">
        <f t="shared" si="5"/>
        <v>35.635077793493636</v>
      </c>
      <c r="J15" s="4">
        <f t="shared" si="6"/>
        <v>52.514851485148512</v>
      </c>
      <c r="K15" s="4">
        <v>0</v>
      </c>
      <c r="L15" s="4">
        <v>0</v>
      </c>
      <c r="M15" s="4">
        <f t="shared" si="7"/>
        <v>131.28712871287127</v>
      </c>
      <c r="N15" s="4">
        <f t="shared" si="8"/>
        <v>88.149929278642318</v>
      </c>
      <c r="O15" s="4">
        <f t="shared" si="9"/>
        <v>63.768033946251812</v>
      </c>
      <c r="P15" s="4">
        <f t="shared" si="10"/>
        <v>26.257425742574256</v>
      </c>
      <c r="Q15" s="4">
        <f t="shared" si="11"/>
        <v>168.79773691654867</v>
      </c>
      <c r="R15" s="4">
        <f t="shared" si="12"/>
        <v>46.888260254596858</v>
      </c>
      <c r="S15" s="4">
        <f t="shared" si="13"/>
        <v>20.630834512022606</v>
      </c>
      <c r="T15" s="4">
        <f t="shared" si="14"/>
        <v>112.53182461103218</v>
      </c>
      <c r="U15" s="4">
        <f t="shared" si="15"/>
        <v>84.398868458274336</v>
      </c>
      <c r="V15" s="4">
        <f t="shared" si="16"/>
        <v>33.75954738330973</v>
      </c>
      <c r="W15" s="4">
        <f t="shared" si="17"/>
        <v>26.257425742574256</v>
      </c>
      <c r="X15" s="4">
        <f t="shared" si="18"/>
        <v>18.755304101838778</v>
      </c>
      <c r="Y15" s="4">
        <f t="shared" si="19"/>
        <v>13.128712871287128</v>
      </c>
      <c r="Z15" s="4">
        <f t="shared" si="20"/>
        <v>24.381895332390346</v>
      </c>
      <c r="AA15" s="4">
        <v>0</v>
      </c>
      <c r="AB15" s="4">
        <v>0</v>
      </c>
      <c r="AC15" s="4">
        <f t="shared" si="21"/>
        <v>133.16265912305488</v>
      </c>
      <c r="AD15" s="4">
        <f t="shared" si="22"/>
        <v>31.884016973125906</v>
      </c>
      <c r="AE15" s="4">
        <f t="shared" si="23"/>
        <v>45.01272984441303</v>
      </c>
      <c r="AF15" s="4">
        <v>0</v>
      </c>
      <c r="AG15" s="4">
        <f t="shared" si="24"/>
        <v>80.647807637906354</v>
      </c>
      <c r="AH15" s="4">
        <f t="shared" si="25"/>
        <v>110.65629420084859</v>
      </c>
      <c r="AI15" s="4">
        <f t="shared" si="26"/>
        <v>43.137199434229117</v>
      </c>
      <c r="AJ15" s="4">
        <f t="shared" si="27"/>
        <v>110.65629420084859</v>
      </c>
      <c r="AK15" s="4">
        <f t="shared" si="28"/>
        <v>61.892503536067899</v>
      </c>
      <c r="AL15" s="4">
        <f t="shared" si="29"/>
        <v>58.141442715700158</v>
      </c>
      <c r="AM15" s="4">
        <v>0</v>
      </c>
      <c r="AN15" s="4">
        <v>0</v>
      </c>
      <c r="AO15" s="4">
        <f t="shared" si="30"/>
        <v>50.639321074964677</v>
      </c>
      <c r="AP15" s="4">
        <f t="shared" si="31"/>
        <v>123.78500707213611</v>
      </c>
      <c r="AQ15" s="4">
        <f t="shared" si="32"/>
        <v>69.394625176803373</v>
      </c>
      <c r="AR15" s="4">
        <f t="shared" si="33"/>
        <v>180.05091937765181</v>
      </c>
      <c r="AS15" s="4">
        <f t="shared" si="34"/>
        <v>33.75954738330973</v>
      </c>
      <c r="AT15" s="4">
        <f t="shared" si="35"/>
        <v>30.008486562941993</v>
      </c>
      <c r="AU15" s="4">
        <f t="shared" si="36"/>
        <v>99.403111739745441</v>
      </c>
      <c r="AV15" s="4">
        <f t="shared" si="37"/>
        <v>52.514851485148512</v>
      </c>
      <c r="AW15" s="4">
        <f t="shared" si="38"/>
        <v>63.768033946251812</v>
      </c>
      <c r="AX15" s="4">
        <f t="shared" si="39"/>
        <v>37.510608203677556</v>
      </c>
      <c r="AY15" s="4">
        <f t="shared" si="40"/>
        <v>163.17114568599709</v>
      </c>
      <c r="AZ15" s="4">
        <f t="shared" si="41"/>
        <v>31.884016973125906</v>
      </c>
      <c r="BA15" s="4">
        <f t="shared" si="42"/>
        <v>31.884016973125906</v>
      </c>
      <c r="BB15" s="4">
        <f t="shared" si="43"/>
        <v>33.75954738330973</v>
      </c>
      <c r="BC15" s="4">
        <f t="shared" si="44"/>
        <v>43.137199434229117</v>
      </c>
      <c r="BD15" s="4">
        <f t="shared" si="45"/>
        <v>211.93493635077763</v>
      </c>
      <c r="BE15" s="4">
        <f t="shared" si="46"/>
        <v>118.15841584158454</v>
      </c>
      <c r="BF15" s="4">
        <f t="shared" si="47"/>
        <v>157.54455445544551</v>
      </c>
      <c r="BG15" s="4">
        <f t="shared" si="48"/>
        <v>22.506364922206515</v>
      </c>
      <c r="BH15" s="4">
        <f t="shared" si="49"/>
        <v>22.506364922206515</v>
      </c>
      <c r="BI15" s="4">
        <f t="shared" si="50"/>
        <v>519.52192362093353</v>
      </c>
      <c r="BJ15" s="4">
        <f t="shared" si="51"/>
        <v>146.2913719943424</v>
      </c>
      <c r="BK15" s="4">
        <v>0</v>
      </c>
      <c r="BL15" s="4">
        <f t="shared" si="52"/>
        <v>144.41584158415881</v>
      </c>
      <c r="BM15" s="4">
        <v>0</v>
      </c>
      <c r="BN15" s="4">
        <v>0</v>
      </c>
      <c r="BO15" s="4">
        <v>0</v>
      </c>
      <c r="BP15" s="4">
        <f t="shared" si="53"/>
        <v>73.145685997171114</v>
      </c>
      <c r="BQ15" s="4">
        <f t="shared" si="54"/>
        <v>52.514851485148512</v>
      </c>
      <c r="BR15" s="4">
        <v>0</v>
      </c>
      <c r="BS15" s="4">
        <v>0</v>
      </c>
      <c r="BT15" s="4">
        <f t="shared" si="55"/>
        <v>123.78500707213611</v>
      </c>
      <c r="BU15" s="4">
        <v>0</v>
      </c>
      <c r="BV15" s="4">
        <f t="shared" si="56"/>
        <v>22.506364922206515</v>
      </c>
      <c r="BW15" s="4">
        <f t="shared" si="57"/>
        <v>11.253182461103217</v>
      </c>
      <c r="BX15" s="4">
        <f t="shared" si="58"/>
        <v>127.5360678925033</v>
      </c>
      <c r="BY15" s="4">
        <f t="shared" si="59"/>
        <v>88.149929278642318</v>
      </c>
      <c r="BZ15" s="4">
        <f t="shared" si="60"/>
        <v>127.5360678925033</v>
      </c>
      <c r="CA15" s="4">
        <f t="shared" si="61"/>
        <v>114.40735502121657</v>
      </c>
      <c r="CB15" s="4">
        <f t="shared" si="62"/>
        <v>133.16265912305488</v>
      </c>
      <c r="CC15" s="4">
        <f t="shared" si="63"/>
        <v>73.145685997171114</v>
      </c>
      <c r="CD15" s="4">
        <f t="shared" si="64"/>
        <v>243.81895332390343</v>
      </c>
      <c r="CE15" s="4">
        <v>0</v>
      </c>
      <c r="CF15" s="4">
        <f t="shared" si="65"/>
        <v>101.27864214992904</v>
      </c>
      <c r="CG15" s="4">
        <f t="shared" si="66"/>
        <v>37.510608203677556</v>
      </c>
      <c r="CH15" s="4">
        <f t="shared" si="67"/>
        <v>20.630834512022606</v>
      </c>
      <c r="CI15" s="4">
        <f t="shared" si="68"/>
        <v>45.01272984441303</v>
      </c>
      <c r="CJ15" s="4">
        <f t="shared" si="69"/>
        <v>39.386138613861377</v>
      </c>
      <c r="CK15" s="4">
        <v>0</v>
      </c>
      <c r="CL15" s="4">
        <f t="shared" si="70"/>
        <v>90.025459688825904</v>
      </c>
      <c r="CM15" s="4">
        <v>0</v>
      </c>
      <c r="CN15" s="4">
        <f t="shared" si="71"/>
        <v>305.71145685997146</v>
      </c>
      <c r="CO15" s="4">
        <f t="shared" si="72"/>
        <v>18.755304101838778</v>
      </c>
      <c r="CP15" s="4">
        <f t="shared" si="73"/>
        <v>121.90947666195171</v>
      </c>
      <c r="CQ15" s="4">
        <f t="shared" si="74"/>
        <v>22.506364922206515</v>
      </c>
      <c r="CR15" s="4">
        <f t="shared" si="75"/>
        <v>56.265912305516245</v>
      </c>
      <c r="CS15" s="4">
        <f t="shared" si="76"/>
        <v>78.772277227722753</v>
      </c>
      <c r="CT15" s="4">
        <f t="shared" si="77"/>
        <v>71.270155586987272</v>
      </c>
      <c r="CU15" s="4">
        <f t="shared" si="78"/>
        <v>28.132956152758165</v>
      </c>
      <c r="CV15" s="4">
        <f t="shared" si="79"/>
        <v>63.768033946251812</v>
      </c>
      <c r="CW15" s="4">
        <f t="shared" si="80"/>
        <v>78.772277227722753</v>
      </c>
      <c r="CX15" s="4">
        <f t="shared" si="81"/>
        <v>69.394625176803373</v>
      </c>
      <c r="CY15" s="4">
        <f t="shared" si="82"/>
        <v>41.261669024045297</v>
      </c>
      <c r="CZ15" s="4">
        <f t="shared" si="83"/>
        <v>9.377652050919389</v>
      </c>
      <c r="DA15" s="4">
        <f t="shared" si="84"/>
        <v>43.137199434229117</v>
      </c>
      <c r="DB15" s="4">
        <f t="shared" si="85"/>
        <v>71.270155586987272</v>
      </c>
      <c r="DC15" s="4">
        <f t="shared" si="86"/>
        <v>58.141442715700158</v>
      </c>
      <c r="DD15" s="4">
        <f t="shared" si="87"/>
        <v>80.647807637906354</v>
      </c>
      <c r="DE15" s="4">
        <f t="shared" si="88"/>
        <v>93.776520509193887</v>
      </c>
      <c r="DF15" s="4">
        <f t="shared" si="89"/>
        <v>3.7510608203677474</v>
      </c>
      <c r="DG15" s="4">
        <f t="shared" si="90"/>
        <v>15.004243281471037</v>
      </c>
      <c r="DH15" s="4">
        <f t="shared" si="91"/>
        <v>73.145685997171114</v>
      </c>
      <c r="DI15" s="4">
        <v>0</v>
      </c>
      <c r="DJ15" s="4">
        <f t="shared" si="92"/>
        <v>127.5360678925033</v>
      </c>
      <c r="DK15" s="4">
        <f t="shared" si="93"/>
        <v>11.253182461103217</v>
      </c>
      <c r="DL15" s="4">
        <f t="shared" si="94"/>
        <v>15.004243281471037</v>
      </c>
      <c r="DM15" s="4">
        <f t="shared" si="95"/>
        <v>41.261669024045297</v>
      </c>
      <c r="DN15" s="4">
        <f t="shared" si="96"/>
        <v>345.09759547383328</v>
      </c>
      <c r="DO15" s="4">
        <f t="shared" si="97"/>
        <v>37.510608203677556</v>
      </c>
      <c r="DP15" s="4">
        <f t="shared" si="98"/>
        <v>61.892503536067899</v>
      </c>
    </row>
    <row r="16" spans="1:120" x14ac:dyDescent="0.35">
      <c r="A16" s="3">
        <v>15</v>
      </c>
      <c r="B16" s="3">
        <v>8303</v>
      </c>
      <c r="C16" s="3">
        <f t="shared" si="0"/>
        <v>99.823903818953141</v>
      </c>
      <c r="D16" s="4">
        <f t="shared" si="1"/>
        <v>39.146628948609191</v>
      </c>
      <c r="E16" s="4">
        <f t="shared" si="2"/>
        <v>76.335926449787806</v>
      </c>
      <c r="F16" s="4">
        <f t="shared" si="3"/>
        <v>76.335926449787806</v>
      </c>
      <c r="G16" s="4">
        <v>0</v>
      </c>
      <c r="H16" s="4">
        <f t="shared" si="4"/>
        <v>101.78123526638412</v>
      </c>
      <c r="I16" s="4">
        <f t="shared" si="5"/>
        <v>37.189297501178693</v>
      </c>
      <c r="J16" s="4">
        <f t="shared" si="6"/>
        <v>54.805280528052798</v>
      </c>
      <c r="K16" s="4">
        <v>0</v>
      </c>
      <c r="L16" s="4">
        <v>0</v>
      </c>
      <c r="M16" s="4">
        <f t="shared" si="7"/>
        <v>137.013201320132</v>
      </c>
      <c r="N16" s="4">
        <f t="shared" si="8"/>
        <v>91.994578029231661</v>
      </c>
      <c r="O16" s="4">
        <f t="shared" si="9"/>
        <v>66.549269212635593</v>
      </c>
      <c r="P16" s="4">
        <f t="shared" si="10"/>
        <v>27.402640264026399</v>
      </c>
      <c r="Q16" s="4">
        <f t="shared" si="11"/>
        <v>176.15983026874102</v>
      </c>
      <c r="R16" s="4">
        <f t="shared" si="12"/>
        <v>48.933286185761403</v>
      </c>
      <c r="S16" s="4">
        <f t="shared" si="13"/>
        <v>21.530645921735005</v>
      </c>
      <c r="T16" s="4">
        <f t="shared" si="14"/>
        <v>117.43988684582708</v>
      </c>
      <c r="U16" s="4">
        <f t="shared" si="15"/>
        <v>88.079915134370509</v>
      </c>
      <c r="V16" s="4">
        <f t="shared" si="16"/>
        <v>35.231966053748202</v>
      </c>
      <c r="W16" s="4">
        <f t="shared" si="17"/>
        <v>27.402640264026399</v>
      </c>
      <c r="X16" s="4">
        <f t="shared" si="18"/>
        <v>19.573314474304595</v>
      </c>
      <c r="Y16" s="4">
        <f t="shared" si="19"/>
        <v>13.701320132013199</v>
      </c>
      <c r="Z16" s="4">
        <f t="shared" si="20"/>
        <v>25.445308816595908</v>
      </c>
      <c r="AA16" s="4">
        <v>0</v>
      </c>
      <c r="AB16" s="4">
        <v>0</v>
      </c>
      <c r="AC16" s="4">
        <f t="shared" si="21"/>
        <v>138.97053276756216</v>
      </c>
      <c r="AD16" s="4">
        <f t="shared" si="22"/>
        <v>33.274634606317797</v>
      </c>
      <c r="AE16" s="4">
        <f t="shared" si="23"/>
        <v>46.975954738330991</v>
      </c>
      <c r="AF16" s="4">
        <v>0</v>
      </c>
      <c r="AG16" s="4">
        <f t="shared" si="24"/>
        <v>84.165252239509357</v>
      </c>
      <c r="AH16" s="4">
        <f t="shared" si="25"/>
        <v>115.48255539839691</v>
      </c>
      <c r="AI16" s="4">
        <f t="shared" si="26"/>
        <v>45.0186232909005</v>
      </c>
      <c r="AJ16" s="4">
        <f t="shared" si="27"/>
        <v>115.48255539839691</v>
      </c>
      <c r="AK16" s="4">
        <f t="shared" si="28"/>
        <v>64.591937765205103</v>
      </c>
      <c r="AL16" s="4">
        <f t="shared" si="29"/>
        <v>60.677274870344192</v>
      </c>
      <c r="AM16" s="4">
        <v>0</v>
      </c>
      <c r="AN16" s="4">
        <v>0</v>
      </c>
      <c r="AO16" s="4">
        <f t="shared" si="30"/>
        <v>52.847949080622385</v>
      </c>
      <c r="AP16" s="4">
        <f t="shared" si="31"/>
        <v>129.18387553041052</v>
      </c>
      <c r="AQ16" s="4">
        <f t="shared" si="32"/>
        <v>72.421263554926895</v>
      </c>
      <c r="AR16" s="4">
        <f t="shared" si="33"/>
        <v>187.90381895332365</v>
      </c>
      <c r="AS16" s="4">
        <f t="shared" si="34"/>
        <v>35.231966053748202</v>
      </c>
      <c r="AT16" s="4">
        <f t="shared" si="35"/>
        <v>31.317303158887302</v>
      </c>
      <c r="AU16" s="4">
        <f t="shared" si="36"/>
        <v>103.73856671381428</v>
      </c>
      <c r="AV16" s="4">
        <f t="shared" si="37"/>
        <v>54.805280528052798</v>
      </c>
      <c r="AW16" s="4">
        <f t="shared" si="38"/>
        <v>66.549269212635593</v>
      </c>
      <c r="AX16" s="4">
        <f t="shared" si="39"/>
        <v>39.146628948609191</v>
      </c>
      <c r="AY16" s="4">
        <f t="shared" si="40"/>
        <v>170.2878359264497</v>
      </c>
      <c r="AZ16" s="4">
        <f t="shared" si="41"/>
        <v>33.274634606317797</v>
      </c>
      <c r="BA16" s="4">
        <f t="shared" si="42"/>
        <v>33.274634606317797</v>
      </c>
      <c r="BB16" s="4">
        <f t="shared" si="43"/>
        <v>35.231966053748202</v>
      </c>
      <c r="BC16" s="4">
        <f t="shared" si="44"/>
        <v>45.0186232909005</v>
      </c>
      <c r="BD16" s="4">
        <f t="shared" si="45"/>
        <v>221.17845355964135</v>
      </c>
      <c r="BE16" s="4">
        <f t="shared" si="46"/>
        <v>123.31188118811922</v>
      </c>
      <c r="BF16" s="4">
        <f t="shared" si="47"/>
        <v>164.41584158415839</v>
      </c>
      <c r="BG16" s="4">
        <f t="shared" si="48"/>
        <v>23.487977369165495</v>
      </c>
      <c r="BH16" s="4">
        <f t="shared" si="49"/>
        <v>23.487977369165495</v>
      </c>
      <c r="BI16" s="4">
        <f t="shared" si="50"/>
        <v>542.18081093823662</v>
      </c>
      <c r="BJ16" s="4">
        <f t="shared" si="51"/>
        <v>152.67185289957578</v>
      </c>
      <c r="BK16" s="4">
        <v>0</v>
      </c>
      <c r="BL16" s="4">
        <f t="shared" si="52"/>
        <v>150.71452145214562</v>
      </c>
      <c r="BM16" s="4">
        <v>0</v>
      </c>
      <c r="BN16" s="4">
        <v>0</v>
      </c>
      <c r="BO16" s="4">
        <v>0</v>
      </c>
      <c r="BP16" s="4">
        <f t="shared" si="53"/>
        <v>76.335926449787806</v>
      </c>
      <c r="BQ16" s="4">
        <f t="shared" si="54"/>
        <v>54.805280528052798</v>
      </c>
      <c r="BR16" s="4">
        <v>0</v>
      </c>
      <c r="BS16" s="4">
        <v>0</v>
      </c>
      <c r="BT16" s="4">
        <f t="shared" si="55"/>
        <v>129.18387553041052</v>
      </c>
      <c r="BU16" s="4">
        <v>0</v>
      </c>
      <c r="BV16" s="4">
        <f t="shared" si="56"/>
        <v>23.487977369165495</v>
      </c>
      <c r="BW16" s="4">
        <f t="shared" si="57"/>
        <v>11.743988684582707</v>
      </c>
      <c r="BX16" s="4">
        <f t="shared" si="58"/>
        <v>133.09853842527085</v>
      </c>
      <c r="BY16" s="4">
        <f t="shared" si="59"/>
        <v>91.994578029231661</v>
      </c>
      <c r="BZ16" s="4">
        <f t="shared" si="60"/>
        <v>133.09853842527085</v>
      </c>
      <c r="CA16" s="4">
        <f t="shared" si="61"/>
        <v>119.39721829325806</v>
      </c>
      <c r="CB16" s="4">
        <f t="shared" si="62"/>
        <v>138.97053276756216</v>
      </c>
      <c r="CC16" s="4">
        <f t="shared" si="63"/>
        <v>76.335926449787806</v>
      </c>
      <c r="CD16" s="4">
        <f t="shared" si="64"/>
        <v>254.45308816595906</v>
      </c>
      <c r="CE16" s="4">
        <v>0</v>
      </c>
      <c r="CF16" s="4">
        <f t="shared" si="65"/>
        <v>105.69589816124444</v>
      </c>
      <c r="CG16" s="4">
        <f t="shared" si="66"/>
        <v>39.146628948609191</v>
      </c>
      <c r="CH16" s="4">
        <f t="shared" si="67"/>
        <v>21.530645921735005</v>
      </c>
      <c r="CI16" s="4">
        <f t="shared" si="68"/>
        <v>46.975954738330991</v>
      </c>
      <c r="CJ16" s="4">
        <f t="shared" si="69"/>
        <v>41.103960396039597</v>
      </c>
      <c r="CK16" s="4">
        <v>0</v>
      </c>
      <c r="CL16" s="4">
        <f t="shared" si="70"/>
        <v>93.951909476661825</v>
      </c>
      <c r="CM16" s="4">
        <v>0</v>
      </c>
      <c r="CN16" s="4">
        <f t="shared" si="71"/>
        <v>319.04502593116433</v>
      </c>
      <c r="CO16" s="4">
        <f t="shared" si="72"/>
        <v>19.573314474304595</v>
      </c>
      <c r="CP16" s="4">
        <f t="shared" si="73"/>
        <v>127.22654408297953</v>
      </c>
      <c r="CQ16" s="4">
        <f t="shared" si="74"/>
        <v>23.487977369165495</v>
      </c>
      <c r="CR16" s="4">
        <f t="shared" si="75"/>
        <v>58.719943422913701</v>
      </c>
      <c r="CS16" s="4">
        <f t="shared" si="76"/>
        <v>82.207920792079193</v>
      </c>
      <c r="CT16" s="4">
        <f t="shared" si="77"/>
        <v>74.378595002357386</v>
      </c>
      <c r="CU16" s="4">
        <f t="shared" si="78"/>
        <v>29.359971711456893</v>
      </c>
      <c r="CV16" s="4">
        <f t="shared" si="79"/>
        <v>66.549269212635593</v>
      </c>
      <c r="CW16" s="4">
        <f t="shared" si="80"/>
        <v>82.207920792079193</v>
      </c>
      <c r="CX16" s="4">
        <f t="shared" si="81"/>
        <v>72.421263554926895</v>
      </c>
      <c r="CY16" s="4">
        <f t="shared" si="82"/>
        <v>43.061291843470094</v>
      </c>
      <c r="CZ16" s="4">
        <f t="shared" si="83"/>
        <v>9.7866572371522977</v>
      </c>
      <c r="DA16" s="4">
        <f t="shared" si="84"/>
        <v>45.0186232909005</v>
      </c>
      <c r="DB16" s="4">
        <f t="shared" si="85"/>
        <v>74.378595002357386</v>
      </c>
      <c r="DC16" s="4">
        <f t="shared" si="86"/>
        <v>60.677274870344192</v>
      </c>
      <c r="DD16" s="4">
        <f t="shared" si="87"/>
        <v>84.165252239509357</v>
      </c>
      <c r="DE16" s="4">
        <f t="shared" si="88"/>
        <v>97.866572371522977</v>
      </c>
      <c r="DF16" s="4">
        <f t="shared" si="89"/>
        <v>3.9146628948609106</v>
      </c>
      <c r="DG16" s="4">
        <f t="shared" si="90"/>
        <v>15.658651579443692</v>
      </c>
      <c r="DH16" s="4">
        <f t="shared" si="91"/>
        <v>76.335926449787806</v>
      </c>
      <c r="DI16" s="4">
        <v>0</v>
      </c>
      <c r="DJ16" s="4">
        <f t="shared" si="92"/>
        <v>133.09853842527085</v>
      </c>
      <c r="DK16" s="4">
        <f t="shared" si="93"/>
        <v>11.743988684582707</v>
      </c>
      <c r="DL16" s="4">
        <f t="shared" si="94"/>
        <v>15.658651579443692</v>
      </c>
      <c r="DM16" s="4">
        <f t="shared" si="95"/>
        <v>43.061291843470094</v>
      </c>
      <c r="DN16" s="4">
        <f t="shared" si="96"/>
        <v>360.14898632720434</v>
      </c>
      <c r="DO16" s="4">
        <f t="shared" si="97"/>
        <v>39.146628948609191</v>
      </c>
      <c r="DP16" s="4">
        <f t="shared" si="98"/>
        <v>64.591937765205103</v>
      </c>
    </row>
    <row r="17" spans="1:120" x14ac:dyDescent="0.35">
      <c r="A17" s="3">
        <v>16</v>
      </c>
      <c r="B17" s="3">
        <v>8246</v>
      </c>
      <c r="C17" s="3">
        <f t="shared" si="0"/>
        <v>99.138613861385963</v>
      </c>
      <c r="D17" s="4">
        <f t="shared" si="1"/>
        <v>38.877887788778921</v>
      </c>
      <c r="E17" s="4">
        <f t="shared" si="2"/>
        <v>75.81188118811879</v>
      </c>
      <c r="F17" s="4">
        <f t="shared" si="3"/>
        <v>75.81188118811879</v>
      </c>
      <c r="G17" s="4">
        <v>0</v>
      </c>
      <c r="H17" s="4">
        <f t="shared" si="4"/>
        <v>101.08250825082543</v>
      </c>
      <c r="I17" s="4">
        <f t="shared" si="5"/>
        <v>36.93399339933994</v>
      </c>
      <c r="J17" s="4">
        <f t="shared" si="6"/>
        <v>54.429042904290419</v>
      </c>
      <c r="K17" s="4">
        <v>0</v>
      </c>
      <c r="L17" s="4">
        <v>0</v>
      </c>
      <c r="M17" s="4">
        <f t="shared" si="7"/>
        <v>136.07260726072607</v>
      </c>
      <c r="N17" s="4">
        <f t="shared" si="8"/>
        <v>91.363036303630537</v>
      </c>
      <c r="O17" s="4">
        <f t="shared" si="9"/>
        <v>66.092409240924141</v>
      </c>
      <c r="P17" s="4">
        <f t="shared" si="10"/>
        <v>27.21452145214521</v>
      </c>
      <c r="Q17" s="4">
        <f t="shared" si="11"/>
        <v>174.95049504950481</v>
      </c>
      <c r="R17" s="4">
        <f t="shared" si="12"/>
        <v>48.597359735973569</v>
      </c>
      <c r="S17" s="4">
        <f t="shared" si="13"/>
        <v>21.382838283828356</v>
      </c>
      <c r="T17" s="4">
        <f t="shared" si="14"/>
        <v>116.63366336633626</v>
      </c>
      <c r="U17" s="4">
        <f t="shared" si="15"/>
        <v>87.475247524752405</v>
      </c>
      <c r="V17" s="4">
        <f t="shared" si="16"/>
        <v>34.990099009900959</v>
      </c>
      <c r="W17" s="4">
        <f t="shared" si="17"/>
        <v>27.21452145214521</v>
      </c>
      <c r="X17" s="4">
        <f t="shared" si="18"/>
        <v>19.43894389438946</v>
      </c>
      <c r="Y17" s="4">
        <f t="shared" si="19"/>
        <v>13.607260726072605</v>
      </c>
      <c r="Z17" s="4">
        <f t="shared" si="20"/>
        <v>25.270627062706232</v>
      </c>
      <c r="AA17" s="4">
        <v>0</v>
      </c>
      <c r="AB17" s="4">
        <v>0</v>
      </c>
      <c r="AC17" s="4">
        <f t="shared" si="21"/>
        <v>138.01650165016471</v>
      </c>
      <c r="AD17" s="4">
        <f t="shared" si="22"/>
        <v>33.046204620462071</v>
      </c>
      <c r="AE17" s="4">
        <f t="shared" si="23"/>
        <v>46.653465346534666</v>
      </c>
      <c r="AF17" s="4">
        <v>0</v>
      </c>
      <c r="AG17" s="4">
        <f t="shared" si="24"/>
        <v>83.587458745874272</v>
      </c>
      <c r="AH17" s="4">
        <f t="shared" si="25"/>
        <v>114.68976897689762</v>
      </c>
      <c r="AI17" s="4">
        <f t="shared" si="26"/>
        <v>44.709570957095693</v>
      </c>
      <c r="AJ17" s="4">
        <f t="shared" si="27"/>
        <v>114.68976897689762</v>
      </c>
      <c r="AK17" s="4">
        <f t="shared" si="28"/>
        <v>64.14851485148516</v>
      </c>
      <c r="AL17" s="4">
        <f t="shared" si="29"/>
        <v>60.260726072607277</v>
      </c>
      <c r="AM17" s="4">
        <v>0</v>
      </c>
      <c r="AN17" s="4">
        <v>0</v>
      </c>
      <c r="AO17" s="4">
        <f t="shared" si="30"/>
        <v>52.485148514851524</v>
      </c>
      <c r="AP17" s="4">
        <f t="shared" si="31"/>
        <v>128.29702970297063</v>
      </c>
      <c r="AQ17" s="4">
        <f t="shared" si="32"/>
        <v>71.924092409240899</v>
      </c>
      <c r="AR17" s="4">
        <f t="shared" si="33"/>
        <v>186.61386138613835</v>
      </c>
      <c r="AS17" s="4">
        <f t="shared" si="34"/>
        <v>34.990099009900959</v>
      </c>
      <c r="AT17" s="4">
        <f t="shared" si="35"/>
        <v>31.102310231023086</v>
      </c>
      <c r="AU17" s="4">
        <f t="shared" si="36"/>
        <v>103.02640264026407</v>
      </c>
      <c r="AV17" s="4">
        <f t="shared" si="37"/>
        <v>54.429042904290419</v>
      </c>
      <c r="AW17" s="4">
        <f t="shared" si="38"/>
        <v>66.092409240924141</v>
      </c>
      <c r="AX17" s="4">
        <f t="shared" si="39"/>
        <v>38.877887788778921</v>
      </c>
      <c r="AY17" s="4">
        <f t="shared" si="40"/>
        <v>169.11881188118804</v>
      </c>
      <c r="AZ17" s="4">
        <f t="shared" si="41"/>
        <v>33.046204620462071</v>
      </c>
      <c r="BA17" s="4">
        <f t="shared" si="42"/>
        <v>33.046204620462071</v>
      </c>
      <c r="BB17" s="4">
        <f t="shared" si="43"/>
        <v>34.990099009900959</v>
      </c>
      <c r="BC17" s="4">
        <f t="shared" si="44"/>
        <v>44.709570957095693</v>
      </c>
      <c r="BD17" s="4">
        <f t="shared" si="45"/>
        <v>219.66006600660035</v>
      </c>
      <c r="BE17" s="4">
        <f t="shared" si="46"/>
        <v>122.46534653465386</v>
      </c>
      <c r="BF17" s="4">
        <f t="shared" si="47"/>
        <v>163.28712871287127</v>
      </c>
      <c r="BG17" s="4">
        <f t="shared" si="48"/>
        <v>23.326732673267333</v>
      </c>
      <c r="BH17" s="4">
        <f t="shared" si="49"/>
        <v>23.326732673267333</v>
      </c>
      <c r="BI17" s="4">
        <f t="shared" si="50"/>
        <v>538.45874587458741</v>
      </c>
      <c r="BJ17" s="4">
        <f t="shared" si="51"/>
        <v>151.62376237623775</v>
      </c>
      <c r="BK17" s="4">
        <v>0</v>
      </c>
      <c r="BL17" s="4">
        <f t="shared" si="52"/>
        <v>149.67986798679908</v>
      </c>
      <c r="BM17" s="4">
        <v>0</v>
      </c>
      <c r="BN17" s="4">
        <v>0</v>
      </c>
      <c r="BO17" s="4">
        <v>0</v>
      </c>
      <c r="BP17" s="4">
        <f t="shared" si="53"/>
        <v>75.81188118811879</v>
      </c>
      <c r="BQ17" s="4">
        <f t="shared" si="54"/>
        <v>54.429042904290419</v>
      </c>
      <c r="BR17" s="4">
        <v>0</v>
      </c>
      <c r="BS17" s="4">
        <v>0</v>
      </c>
      <c r="BT17" s="4">
        <f t="shared" si="55"/>
        <v>128.29702970297063</v>
      </c>
      <c r="BU17" s="4">
        <v>0</v>
      </c>
      <c r="BV17" s="4">
        <f t="shared" si="56"/>
        <v>23.326732673267333</v>
      </c>
      <c r="BW17" s="4">
        <f t="shared" si="57"/>
        <v>11.663366336633626</v>
      </c>
      <c r="BX17" s="4">
        <f t="shared" si="58"/>
        <v>132.18481848184794</v>
      </c>
      <c r="BY17" s="4">
        <f t="shared" si="59"/>
        <v>91.363036303630537</v>
      </c>
      <c r="BZ17" s="4">
        <f t="shared" si="60"/>
        <v>132.18481848184794</v>
      </c>
      <c r="CA17" s="4">
        <f t="shared" si="61"/>
        <v>118.57755775577574</v>
      </c>
      <c r="CB17" s="4">
        <f t="shared" si="62"/>
        <v>138.01650165016471</v>
      </c>
      <c r="CC17" s="4">
        <f t="shared" si="63"/>
        <v>75.81188118811879</v>
      </c>
      <c r="CD17" s="4">
        <f t="shared" si="64"/>
        <v>252.70627062706231</v>
      </c>
      <c r="CE17" s="4">
        <v>0</v>
      </c>
      <c r="CF17" s="4">
        <f t="shared" si="65"/>
        <v>104.97029702970272</v>
      </c>
      <c r="CG17" s="4">
        <f t="shared" si="66"/>
        <v>38.877887788778921</v>
      </c>
      <c r="CH17" s="4">
        <f t="shared" si="67"/>
        <v>21.382838283828356</v>
      </c>
      <c r="CI17" s="4">
        <f t="shared" si="68"/>
        <v>46.653465346534666</v>
      </c>
      <c r="CJ17" s="4">
        <f t="shared" si="69"/>
        <v>40.821782178217816</v>
      </c>
      <c r="CK17" s="4">
        <v>0</v>
      </c>
      <c r="CL17" s="4">
        <f t="shared" si="70"/>
        <v>93.306930693069177</v>
      </c>
      <c r="CM17" s="4">
        <v>0</v>
      </c>
      <c r="CN17" s="4">
        <f t="shared" si="71"/>
        <v>316.85478547854763</v>
      </c>
      <c r="CO17" s="4">
        <f t="shared" si="72"/>
        <v>19.43894389438946</v>
      </c>
      <c r="CP17" s="4">
        <f t="shared" si="73"/>
        <v>126.35313531353115</v>
      </c>
      <c r="CQ17" s="4">
        <f t="shared" si="74"/>
        <v>23.326732673267333</v>
      </c>
      <c r="CR17" s="4">
        <f t="shared" si="75"/>
        <v>58.316831683168296</v>
      </c>
      <c r="CS17" s="4">
        <f t="shared" si="76"/>
        <v>81.643564356435633</v>
      </c>
      <c r="CT17" s="4">
        <f t="shared" si="77"/>
        <v>73.86798679867988</v>
      </c>
      <c r="CU17" s="4">
        <f t="shared" si="78"/>
        <v>29.158415841584194</v>
      </c>
      <c r="CV17" s="4">
        <f t="shared" si="79"/>
        <v>66.092409240924141</v>
      </c>
      <c r="CW17" s="4">
        <f t="shared" si="80"/>
        <v>81.643564356435633</v>
      </c>
      <c r="CX17" s="4">
        <f t="shared" si="81"/>
        <v>71.924092409240899</v>
      </c>
      <c r="CY17" s="4">
        <f t="shared" si="82"/>
        <v>42.765676567656797</v>
      </c>
      <c r="CZ17" s="4">
        <f t="shared" si="83"/>
        <v>9.7194719471947302</v>
      </c>
      <c r="DA17" s="4">
        <f t="shared" si="84"/>
        <v>44.709570957095693</v>
      </c>
      <c r="DB17" s="4">
        <f t="shared" si="85"/>
        <v>73.86798679867988</v>
      </c>
      <c r="DC17" s="4">
        <f t="shared" si="86"/>
        <v>60.260726072607277</v>
      </c>
      <c r="DD17" s="4">
        <f t="shared" si="87"/>
        <v>83.587458745874272</v>
      </c>
      <c r="DE17" s="4">
        <f t="shared" si="88"/>
        <v>97.194719471947309</v>
      </c>
      <c r="DF17" s="4">
        <f t="shared" si="89"/>
        <v>3.8877887788778835</v>
      </c>
      <c r="DG17" s="4">
        <f t="shared" si="90"/>
        <v>15.551155115511586</v>
      </c>
      <c r="DH17" s="4">
        <f t="shared" si="91"/>
        <v>75.81188118811879</v>
      </c>
      <c r="DI17" s="4">
        <v>0</v>
      </c>
      <c r="DJ17" s="4">
        <f t="shared" si="92"/>
        <v>132.18481848184794</v>
      </c>
      <c r="DK17" s="4">
        <f t="shared" si="93"/>
        <v>11.663366336633626</v>
      </c>
      <c r="DL17" s="4">
        <f t="shared" si="94"/>
        <v>15.551155115511586</v>
      </c>
      <c r="DM17" s="4">
        <f t="shared" si="95"/>
        <v>42.765676567656797</v>
      </c>
      <c r="DN17" s="4">
        <f t="shared" si="96"/>
        <v>357.67656765676588</v>
      </c>
      <c r="DO17" s="4">
        <f t="shared" si="97"/>
        <v>38.877887788778921</v>
      </c>
      <c r="DP17" s="4">
        <f t="shared" si="98"/>
        <v>64.14851485148516</v>
      </c>
    </row>
    <row r="18" spans="1:120" x14ac:dyDescent="0.35">
      <c r="A18" s="3">
        <v>17</v>
      </c>
      <c r="B18" s="3">
        <v>7944</v>
      </c>
      <c r="C18" s="3">
        <f t="shared" si="0"/>
        <v>95.507779349363332</v>
      </c>
      <c r="D18" s="4">
        <f t="shared" si="1"/>
        <v>37.454031117397498</v>
      </c>
      <c r="E18" s="4">
        <f t="shared" si="2"/>
        <v>73.035360678925002</v>
      </c>
      <c r="F18" s="4">
        <f t="shared" si="3"/>
        <v>73.035360678925002</v>
      </c>
      <c r="G18" s="4">
        <v>0</v>
      </c>
      <c r="H18" s="4">
        <f t="shared" si="4"/>
        <v>97.380480905233711</v>
      </c>
      <c r="I18" s="4">
        <f t="shared" si="5"/>
        <v>35.581329561527589</v>
      </c>
      <c r="J18" s="4">
        <f t="shared" si="6"/>
        <v>52.435643564356432</v>
      </c>
      <c r="K18" s="4">
        <v>0</v>
      </c>
      <c r="L18" s="4">
        <v>0</v>
      </c>
      <c r="M18" s="4">
        <f t="shared" si="7"/>
        <v>131.08910891089107</v>
      </c>
      <c r="N18" s="4">
        <f t="shared" si="8"/>
        <v>88.016973125884178</v>
      </c>
      <c r="O18" s="4">
        <f t="shared" si="9"/>
        <v>63.671852899575718</v>
      </c>
      <c r="P18" s="4">
        <f t="shared" si="10"/>
        <v>26.217821782178216</v>
      </c>
      <c r="Q18" s="4">
        <f t="shared" si="11"/>
        <v>168.54314002828841</v>
      </c>
      <c r="R18" s="4">
        <f t="shared" si="12"/>
        <v>46.81753889674679</v>
      </c>
      <c r="S18" s="4">
        <f t="shared" si="13"/>
        <v>20.599717114568573</v>
      </c>
      <c r="T18" s="4">
        <f t="shared" si="14"/>
        <v>112.36209335219201</v>
      </c>
      <c r="U18" s="4">
        <f t="shared" si="15"/>
        <v>84.271570014144203</v>
      </c>
      <c r="V18" s="4">
        <f t="shared" si="16"/>
        <v>33.70862800565768</v>
      </c>
      <c r="W18" s="4">
        <f t="shared" si="17"/>
        <v>26.217821782178216</v>
      </c>
      <c r="X18" s="4">
        <f t="shared" si="18"/>
        <v>18.727015558698749</v>
      </c>
      <c r="Y18" s="4">
        <f t="shared" si="19"/>
        <v>13.108910891089108</v>
      </c>
      <c r="Z18" s="4">
        <f t="shared" si="20"/>
        <v>24.34512022630831</v>
      </c>
      <c r="AA18" s="4">
        <v>0</v>
      </c>
      <c r="AB18" s="4">
        <v>0</v>
      </c>
      <c r="AC18" s="4">
        <f t="shared" si="21"/>
        <v>132.96181046676065</v>
      </c>
      <c r="AD18" s="4">
        <f t="shared" si="22"/>
        <v>31.835926449787859</v>
      </c>
      <c r="AE18" s="4">
        <f t="shared" si="23"/>
        <v>44.944837340876958</v>
      </c>
      <c r="AF18" s="4">
        <v>0</v>
      </c>
      <c r="AG18" s="4">
        <f t="shared" si="24"/>
        <v>80.526166902404228</v>
      </c>
      <c r="AH18" s="4">
        <f t="shared" si="25"/>
        <v>110.48939179632242</v>
      </c>
      <c r="AI18" s="4">
        <f t="shared" si="26"/>
        <v>43.072135785007056</v>
      </c>
      <c r="AJ18" s="4">
        <f t="shared" si="27"/>
        <v>110.48939179632242</v>
      </c>
      <c r="AK18" s="4">
        <f t="shared" si="28"/>
        <v>61.799151343705802</v>
      </c>
      <c r="AL18" s="4">
        <f t="shared" si="29"/>
        <v>58.053748231966068</v>
      </c>
      <c r="AM18" s="4">
        <v>0</v>
      </c>
      <c r="AN18" s="4">
        <v>0</v>
      </c>
      <c r="AO18" s="4">
        <f t="shared" si="30"/>
        <v>50.562942008486601</v>
      </c>
      <c r="AP18" s="4">
        <f t="shared" si="31"/>
        <v>123.59830268741193</v>
      </c>
      <c r="AQ18" s="4">
        <f t="shared" si="32"/>
        <v>69.289957567185269</v>
      </c>
      <c r="AR18" s="4">
        <f t="shared" si="33"/>
        <v>179.77934936350755</v>
      </c>
      <c r="AS18" s="4">
        <f t="shared" si="34"/>
        <v>33.70862800565768</v>
      </c>
      <c r="AT18" s="4">
        <f t="shared" si="35"/>
        <v>29.96322489391795</v>
      </c>
      <c r="AU18" s="4">
        <f t="shared" si="36"/>
        <v>99.253182461103293</v>
      </c>
      <c r="AV18" s="4">
        <f t="shared" si="37"/>
        <v>52.435643564356432</v>
      </c>
      <c r="AW18" s="4">
        <f t="shared" si="38"/>
        <v>63.671852899575718</v>
      </c>
      <c r="AX18" s="4">
        <f t="shared" si="39"/>
        <v>37.454031117397498</v>
      </c>
      <c r="AY18" s="4">
        <f t="shared" si="40"/>
        <v>162.92503536067883</v>
      </c>
      <c r="AZ18" s="4">
        <f t="shared" si="41"/>
        <v>31.835926449787859</v>
      </c>
      <c r="BA18" s="4">
        <f t="shared" si="42"/>
        <v>31.835926449787859</v>
      </c>
      <c r="BB18" s="4">
        <f t="shared" si="43"/>
        <v>33.70862800565768</v>
      </c>
      <c r="BC18" s="4">
        <f t="shared" si="44"/>
        <v>43.072135785007056</v>
      </c>
      <c r="BD18" s="4">
        <f t="shared" si="45"/>
        <v>211.61527581329531</v>
      </c>
      <c r="BE18" s="4">
        <f t="shared" si="46"/>
        <v>117.98019801980236</v>
      </c>
      <c r="BF18" s="4">
        <f t="shared" si="47"/>
        <v>157.30693069306929</v>
      </c>
      <c r="BG18" s="4">
        <f t="shared" si="48"/>
        <v>22.472418670438479</v>
      </c>
      <c r="BH18" s="4">
        <f t="shared" si="49"/>
        <v>22.472418670438479</v>
      </c>
      <c r="BI18" s="4">
        <f t="shared" si="50"/>
        <v>518.73833097595468</v>
      </c>
      <c r="BJ18" s="4">
        <f t="shared" si="51"/>
        <v>146.07072135785018</v>
      </c>
      <c r="BK18" s="4">
        <v>0</v>
      </c>
      <c r="BL18" s="4">
        <f t="shared" si="52"/>
        <v>144.19801980198059</v>
      </c>
      <c r="BM18" s="4">
        <v>0</v>
      </c>
      <c r="BN18" s="4">
        <v>0</v>
      </c>
      <c r="BO18" s="4">
        <v>0</v>
      </c>
      <c r="BP18" s="4">
        <f t="shared" si="53"/>
        <v>73.035360678925002</v>
      </c>
      <c r="BQ18" s="4">
        <f t="shared" si="54"/>
        <v>52.435643564356432</v>
      </c>
      <c r="BR18" s="4">
        <v>0</v>
      </c>
      <c r="BS18" s="4">
        <v>0</v>
      </c>
      <c r="BT18" s="4">
        <f t="shared" si="55"/>
        <v>123.59830268741193</v>
      </c>
      <c r="BU18" s="4">
        <v>0</v>
      </c>
      <c r="BV18" s="4">
        <f t="shared" si="56"/>
        <v>22.472418670438479</v>
      </c>
      <c r="BW18" s="4">
        <f t="shared" si="57"/>
        <v>11.236209335219201</v>
      </c>
      <c r="BX18" s="4">
        <f t="shared" si="58"/>
        <v>127.3437057991511</v>
      </c>
      <c r="BY18" s="4">
        <f t="shared" si="59"/>
        <v>88.016973125884178</v>
      </c>
      <c r="BZ18" s="4">
        <f t="shared" si="60"/>
        <v>127.3437057991511</v>
      </c>
      <c r="CA18" s="4">
        <f t="shared" si="61"/>
        <v>114.2347949080624</v>
      </c>
      <c r="CB18" s="4">
        <f t="shared" si="62"/>
        <v>132.96181046676065</v>
      </c>
      <c r="CC18" s="4">
        <f t="shared" si="63"/>
        <v>73.035360678925002</v>
      </c>
      <c r="CD18" s="4">
        <f t="shared" si="64"/>
        <v>243.45120226308308</v>
      </c>
      <c r="CE18" s="4">
        <v>0</v>
      </c>
      <c r="CF18" s="4">
        <f t="shared" si="65"/>
        <v>101.12588401697289</v>
      </c>
      <c r="CG18" s="4">
        <f t="shared" si="66"/>
        <v>37.454031117397498</v>
      </c>
      <c r="CH18" s="4">
        <f t="shared" si="67"/>
        <v>20.599717114568573</v>
      </c>
      <c r="CI18" s="4">
        <f t="shared" si="68"/>
        <v>44.944837340876958</v>
      </c>
      <c r="CJ18" s="4">
        <f t="shared" si="69"/>
        <v>39.326732673267323</v>
      </c>
      <c r="CK18" s="4">
        <v>0</v>
      </c>
      <c r="CL18" s="4">
        <f t="shared" si="70"/>
        <v>89.889674681753775</v>
      </c>
      <c r="CM18" s="4">
        <v>0</v>
      </c>
      <c r="CN18" s="4">
        <f t="shared" si="71"/>
        <v>305.25035360678902</v>
      </c>
      <c r="CO18" s="4">
        <f t="shared" si="72"/>
        <v>18.727015558698749</v>
      </c>
      <c r="CP18" s="4">
        <f t="shared" si="73"/>
        <v>121.72560113154154</v>
      </c>
      <c r="CQ18" s="4">
        <f t="shared" si="74"/>
        <v>22.472418670438479</v>
      </c>
      <c r="CR18" s="4">
        <f t="shared" si="75"/>
        <v>56.181046676096166</v>
      </c>
      <c r="CS18" s="4">
        <f t="shared" si="76"/>
        <v>78.653465346534645</v>
      </c>
      <c r="CT18" s="4">
        <f t="shared" si="77"/>
        <v>71.162659123055178</v>
      </c>
      <c r="CU18" s="4">
        <f t="shared" si="78"/>
        <v>28.090523338048122</v>
      </c>
      <c r="CV18" s="4">
        <f t="shared" si="79"/>
        <v>63.671852899575718</v>
      </c>
      <c r="CW18" s="4">
        <f t="shared" si="80"/>
        <v>78.653465346534645</v>
      </c>
      <c r="CX18" s="4">
        <f t="shared" si="81"/>
        <v>69.289957567185269</v>
      </c>
      <c r="CY18" s="4">
        <f t="shared" si="82"/>
        <v>41.199434229137232</v>
      </c>
      <c r="CZ18" s="4">
        <f t="shared" si="83"/>
        <v>9.3635077793493746</v>
      </c>
      <c r="DA18" s="4">
        <f t="shared" si="84"/>
        <v>43.072135785007056</v>
      </c>
      <c r="DB18" s="4">
        <f t="shared" si="85"/>
        <v>71.162659123055178</v>
      </c>
      <c r="DC18" s="4">
        <f t="shared" si="86"/>
        <v>58.053748231966068</v>
      </c>
      <c r="DD18" s="4">
        <f t="shared" si="87"/>
        <v>80.526166902404228</v>
      </c>
      <c r="DE18" s="4">
        <f t="shared" si="88"/>
        <v>93.63507779349375</v>
      </c>
      <c r="DF18" s="4">
        <f t="shared" si="89"/>
        <v>3.7454031117397415</v>
      </c>
      <c r="DG18" s="4">
        <f t="shared" si="90"/>
        <v>14.981612446959014</v>
      </c>
      <c r="DH18" s="4">
        <f t="shared" si="91"/>
        <v>73.035360678925002</v>
      </c>
      <c r="DI18" s="4">
        <v>0</v>
      </c>
      <c r="DJ18" s="4">
        <f t="shared" si="92"/>
        <v>127.3437057991511</v>
      </c>
      <c r="DK18" s="4">
        <f t="shared" si="93"/>
        <v>11.236209335219201</v>
      </c>
      <c r="DL18" s="4">
        <f t="shared" si="94"/>
        <v>14.981612446959014</v>
      </c>
      <c r="DM18" s="4">
        <f t="shared" si="95"/>
        <v>41.199434229137232</v>
      </c>
      <c r="DN18" s="4">
        <f t="shared" si="96"/>
        <v>344.57708628005679</v>
      </c>
      <c r="DO18" s="4">
        <f t="shared" si="97"/>
        <v>37.454031117397498</v>
      </c>
      <c r="DP18" s="4">
        <f t="shared" si="98"/>
        <v>61.799151343705802</v>
      </c>
    </row>
    <row r="19" spans="1:120" x14ac:dyDescent="0.35">
      <c r="A19" s="3">
        <v>18</v>
      </c>
      <c r="B19" s="3">
        <v>7490</v>
      </c>
      <c r="C19" s="3">
        <f t="shared" si="0"/>
        <v>90.049504950494878</v>
      </c>
      <c r="D19" s="4">
        <f t="shared" si="1"/>
        <v>35.313531353135353</v>
      </c>
      <c r="E19" s="4">
        <f t="shared" si="2"/>
        <v>68.861386138613838</v>
      </c>
      <c r="F19" s="4">
        <f t="shared" si="3"/>
        <v>68.861386138613838</v>
      </c>
      <c r="G19" s="4">
        <v>0</v>
      </c>
      <c r="H19" s="4">
        <f t="shared" si="4"/>
        <v>91.815181518152116</v>
      </c>
      <c r="I19" s="4">
        <f t="shared" si="5"/>
        <v>33.547854785478549</v>
      </c>
      <c r="J19" s="4">
        <f t="shared" si="6"/>
        <v>49.438943894389432</v>
      </c>
      <c r="K19" s="4">
        <v>0</v>
      </c>
      <c r="L19" s="4">
        <v>0</v>
      </c>
      <c r="M19" s="4">
        <f t="shared" si="7"/>
        <v>123.59735973597358</v>
      </c>
      <c r="N19" s="4">
        <f t="shared" si="8"/>
        <v>82.986798679868144</v>
      </c>
      <c r="O19" s="4">
        <f t="shared" si="9"/>
        <v>60.033003300330073</v>
      </c>
      <c r="P19" s="4">
        <f t="shared" si="10"/>
        <v>24.719471947194716</v>
      </c>
      <c r="Q19" s="4">
        <f t="shared" si="11"/>
        <v>158.91089108910879</v>
      </c>
      <c r="R19" s="4">
        <f t="shared" si="12"/>
        <v>44.141914191419119</v>
      </c>
      <c r="S19" s="4">
        <f t="shared" si="13"/>
        <v>19.422442244224399</v>
      </c>
      <c r="T19" s="4">
        <f t="shared" si="14"/>
        <v>105.94059405940561</v>
      </c>
      <c r="U19" s="4">
        <f t="shared" si="15"/>
        <v>79.455445544554394</v>
      </c>
      <c r="V19" s="4">
        <f t="shared" si="16"/>
        <v>31.782178217821755</v>
      </c>
      <c r="W19" s="4">
        <f t="shared" si="17"/>
        <v>24.719471947194716</v>
      </c>
      <c r="X19" s="4">
        <f t="shared" si="18"/>
        <v>17.656765676567677</v>
      </c>
      <c r="Y19" s="4">
        <f t="shared" si="19"/>
        <v>12.359735973597358</v>
      </c>
      <c r="Z19" s="4">
        <f t="shared" si="20"/>
        <v>22.953795379537919</v>
      </c>
      <c r="AA19" s="4">
        <v>0</v>
      </c>
      <c r="AB19" s="4">
        <v>0</v>
      </c>
      <c r="AC19" s="4">
        <f t="shared" si="21"/>
        <v>125.36303630363008</v>
      </c>
      <c r="AD19" s="4">
        <f t="shared" si="22"/>
        <v>30.016501650165036</v>
      </c>
      <c r="AE19" s="4">
        <f t="shared" si="23"/>
        <v>42.376237623762393</v>
      </c>
      <c r="AF19" s="4">
        <v>0</v>
      </c>
      <c r="AG19" s="4">
        <f t="shared" si="24"/>
        <v>75.924092409240643</v>
      </c>
      <c r="AH19" s="4">
        <f t="shared" si="25"/>
        <v>104.17491749174911</v>
      </c>
      <c r="AI19" s="4">
        <f t="shared" si="26"/>
        <v>40.610561056105595</v>
      </c>
      <c r="AJ19" s="4">
        <f t="shared" si="27"/>
        <v>104.17491749174911</v>
      </c>
      <c r="AK19" s="4">
        <f t="shared" si="28"/>
        <v>58.267326732673268</v>
      </c>
      <c r="AL19" s="4">
        <f t="shared" si="29"/>
        <v>54.735973597359752</v>
      </c>
      <c r="AM19" s="4">
        <v>0</v>
      </c>
      <c r="AN19" s="4">
        <v>0</v>
      </c>
      <c r="AO19" s="4">
        <f t="shared" si="30"/>
        <v>47.673267326732706</v>
      </c>
      <c r="AP19" s="4">
        <f t="shared" si="31"/>
        <v>116.53465346534684</v>
      </c>
      <c r="AQ19" s="4">
        <f t="shared" si="32"/>
        <v>65.330033003300301</v>
      </c>
      <c r="AR19" s="4">
        <f t="shared" si="33"/>
        <v>169.50495049504929</v>
      </c>
      <c r="AS19" s="4">
        <f t="shared" si="34"/>
        <v>31.782178217821755</v>
      </c>
      <c r="AT19" s="4">
        <f t="shared" si="35"/>
        <v>28.250825082508239</v>
      </c>
      <c r="AU19" s="4">
        <f t="shared" si="36"/>
        <v>93.580858085808615</v>
      </c>
      <c r="AV19" s="4">
        <f t="shared" si="37"/>
        <v>49.438943894389432</v>
      </c>
      <c r="AW19" s="4">
        <f t="shared" si="38"/>
        <v>60.033003300330073</v>
      </c>
      <c r="AX19" s="4">
        <f t="shared" si="39"/>
        <v>35.313531353135353</v>
      </c>
      <c r="AY19" s="4">
        <f t="shared" si="40"/>
        <v>153.61386138613855</v>
      </c>
      <c r="AZ19" s="4">
        <f t="shared" si="41"/>
        <v>30.016501650165036</v>
      </c>
      <c r="BA19" s="4">
        <f t="shared" si="42"/>
        <v>30.016501650165036</v>
      </c>
      <c r="BB19" s="4">
        <f t="shared" si="43"/>
        <v>31.782178217821755</v>
      </c>
      <c r="BC19" s="4">
        <f t="shared" si="44"/>
        <v>40.610561056105595</v>
      </c>
      <c r="BD19" s="4">
        <f t="shared" si="45"/>
        <v>199.52145214521423</v>
      </c>
      <c r="BE19" s="4">
        <f t="shared" si="46"/>
        <v>111.2376237623766</v>
      </c>
      <c r="BF19" s="4">
        <f t="shared" si="47"/>
        <v>148.31683168316829</v>
      </c>
      <c r="BG19" s="4">
        <f t="shared" si="48"/>
        <v>21.188118811881196</v>
      </c>
      <c r="BH19" s="4">
        <f t="shared" si="49"/>
        <v>21.188118811881196</v>
      </c>
      <c r="BI19" s="4">
        <f t="shared" si="50"/>
        <v>489.0924092409241</v>
      </c>
      <c r="BJ19" s="4">
        <f t="shared" si="51"/>
        <v>137.72277227722782</v>
      </c>
      <c r="BK19" s="4">
        <v>0</v>
      </c>
      <c r="BL19" s="4">
        <f t="shared" si="52"/>
        <v>135.95709570957132</v>
      </c>
      <c r="BM19" s="4">
        <v>0</v>
      </c>
      <c r="BN19" s="4">
        <v>0</v>
      </c>
      <c r="BO19" s="4">
        <v>0</v>
      </c>
      <c r="BP19" s="4">
        <f t="shared" si="53"/>
        <v>68.861386138613838</v>
      </c>
      <c r="BQ19" s="4">
        <f t="shared" si="54"/>
        <v>49.438943894389432</v>
      </c>
      <c r="BR19" s="4">
        <v>0</v>
      </c>
      <c r="BS19" s="4">
        <v>0</v>
      </c>
      <c r="BT19" s="4">
        <f t="shared" si="55"/>
        <v>116.53465346534684</v>
      </c>
      <c r="BU19" s="4">
        <v>0</v>
      </c>
      <c r="BV19" s="4">
        <f t="shared" si="56"/>
        <v>21.188118811881196</v>
      </c>
      <c r="BW19" s="4">
        <f t="shared" si="57"/>
        <v>10.594059405940561</v>
      </c>
      <c r="BX19" s="4">
        <f t="shared" si="58"/>
        <v>120.06600660065983</v>
      </c>
      <c r="BY19" s="4">
        <f t="shared" si="59"/>
        <v>82.986798679868144</v>
      </c>
      <c r="BZ19" s="4">
        <f t="shared" si="60"/>
        <v>120.06600660065983</v>
      </c>
      <c r="CA19" s="4">
        <f t="shared" si="61"/>
        <v>107.70627062706286</v>
      </c>
      <c r="CB19" s="4">
        <f t="shared" si="62"/>
        <v>125.36303630363008</v>
      </c>
      <c r="CC19" s="4">
        <f t="shared" si="63"/>
        <v>68.861386138613838</v>
      </c>
      <c r="CD19" s="4">
        <f t="shared" si="64"/>
        <v>229.5379537953792</v>
      </c>
      <c r="CE19" s="4">
        <v>0</v>
      </c>
      <c r="CF19" s="4">
        <f t="shared" si="65"/>
        <v>95.346534653465113</v>
      </c>
      <c r="CG19" s="4">
        <f t="shared" si="66"/>
        <v>35.313531353135353</v>
      </c>
      <c r="CH19" s="4">
        <f t="shared" si="67"/>
        <v>19.422442244224399</v>
      </c>
      <c r="CI19" s="4">
        <f t="shared" si="68"/>
        <v>42.376237623762393</v>
      </c>
      <c r="CJ19" s="4">
        <f t="shared" si="69"/>
        <v>37.079207920792072</v>
      </c>
      <c r="CK19" s="4">
        <v>0</v>
      </c>
      <c r="CL19" s="4">
        <f t="shared" si="70"/>
        <v>84.752475247524643</v>
      </c>
      <c r="CM19" s="4">
        <v>0</v>
      </c>
      <c r="CN19" s="4">
        <f t="shared" si="71"/>
        <v>287.80528052805261</v>
      </c>
      <c r="CO19" s="4">
        <f t="shared" si="72"/>
        <v>17.656765676567677</v>
      </c>
      <c r="CP19" s="4">
        <f t="shared" si="73"/>
        <v>114.7689768976896</v>
      </c>
      <c r="CQ19" s="4">
        <f t="shared" si="74"/>
        <v>21.188118811881196</v>
      </c>
      <c r="CR19" s="4">
        <f t="shared" si="75"/>
        <v>52.970297029702955</v>
      </c>
      <c r="CS19" s="4">
        <f t="shared" si="76"/>
        <v>74.158415841584144</v>
      </c>
      <c r="CT19" s="4">
        <f t="shared" si="77"/>
        <v>67.095709570957098</v>
      </c>
      <c r="CU19" s="4">
        <f t="shared" si="78"/>
        <v>26.485148514851517</v>
      </c>
      <c r="CV19" s="4">
        <f t="shared" si="79"/>
        <v>60.033003300330073</v>
      </c>
      <c r="CW19" s="4">
        <f t="shared" si="80"/>
        <v>74.158415841584144</v>
      </c>
      <c r="CX19" s="4">
        <f t="shared" si="81"/>
        <v>65.330033003300301</v>
      </c>
      <c r="CY19" s="4">
        <f t="shared" si="82"/>
        <v>38.844884488448876</v>
      </c>
      <c r="CZ19" s="4">
        <f t="shared" si="83"/>
        <v>8.8283828382838383</v>
      </c>
      <c r="DA19" s="4">
        <f t="shared" si="84"/>
        <v>40.610561056105595</v>
      </c>
      <c r="DB19" s="4">
        <f t="shared" si="85"/>
        <v>67.095709570957098</v>
      </c>
      <c r="DC19" s="4">
        <f t="shared" si="86"/>
        <v>54.735973597359752</v>
      </c>
      <c r="DD19" s="4">
        <f t="shared" si="87"/>
        <v>75.924092409240643</v>
      </c>
      <c r="DE19" s="4">
        <f t="shared" si="88"/>
        <v>88.283828382838394</v>
      </c>
      <c r="DF19" s="4">
        <f t="shared" si="89"/>
        <v>3.5313531353135277</v>
      </c>
      <c r="DG19" s="4">
        <f t="shared" si="90"/>
        <v>14.125412541254157</v>
      </c>
      <c r="DH19" s="4">
        <f t="shared" si="91"/>
        <v>68.861386138613838</v>
      </c>
      <c r="DI19" s="4">
        <v>0</v>
      </c>
      <c r="DJ19" s="4">
        <f t="shared" si="92"/>
        <v>120.06600660065983</v>
      </c>
      <c r="DK19" s="4">
        <f t="shared" si="93"/>
        <v>10.594059405940561</v>
      </c>
      <c r="DL19" s="4">
        <f t="shared" si="94"/>
        <v>14.125412541254157</v>
      </c>
      <c r="DM19" s="4">
        <f t="shared" si="95"/>
        <v>38.844884488448876</v>
      </c>
      <c r="DN19" s="4">
        <f t="shared" si="96"/>
        <v>324.88448844884505</v>
      </c>
      <c r="DO19" s="4">
        <f t="shared" si="97"/>
        <v>35.313531353135353</v>
      </c>
      <c r="DP19" s="4">
        <f t="shared" si="98"/>
        <v>58.267326732673268</v>
      </c>
    </row>
    <row r="20" spans="1:120" x14ac:dyDescent="0.35">
      <c r="A20" s="3">
        <v>19</v>
      </c>
      <c r="B20" s="3">
        <v>6802</v>
      </c>
      <c r="C20" s="3">
        <f t="shared" si="0"/>
        <v>81.777934936350633</v>
      </c>
      <c r="D20" s="4">
        <f t="shared" si="1"/>
        <v>32.069778406412105</v>
      </c>
      <c r="E20" s="4">
        <f t="shared" si="2"/>
        <v>62.53606789250351</v>
      </c>
      <c r="F20" s="4">
        <f t="shared" si="3"/>
        <v>62.53606789250351</v>
      </c>
      <c r="G20" s="4">
        <v>0</v>
      </c>
      <c r="H20" s="4">
        <f t="shared" si="4"/>
        <v>83.38142385667166</v>
      </c>
      <c r="I20" s="4">
        <f t="shared" si="5"/>
        <v>30.466289486091469</v>
      </c>
      <c r="J20" s="4">
        <f t="shared" si="6"/>
        <v>44.897689768976889</v>
      </c>
      <c r="K20" s="4">
        <v>0</v>
      </c>
      <c r="L20" s="4">
        <v>0</v>
      </c>
      <c r="M20" s="4">
        <f t="shared" si="7"/>
        <v>112.24422442244223</v>
      </c>
      <c r="N20" s="4">
        <f t="shared" si="8"/>
        <v>75.3639792550685</v>
      </c>
      <c r="O20" s="4">
        <f t="shared" si="9"/>
        <v>54.518623290900557</v>
      </c>
      <c r="P20" s="4">
        <f t="shared" si="10"/>
        <v>22.448844884488445</v>
      </c>
      <c r="Q20" s="4">
        <f t="shared" si="11"/>
        <v>144.3140028288542</v>
      </c>
      <c r="R20" s="4">
        <f t="shared" si="12"/>
        <v>40.087223008015066</v>
      </c>
      <c r="S20" s="4">
        <f t="shared" si="13"/>
        <v>17.638378123526618</v>
      </c>
      <c r="T20" s="4">
        <f t="shared" si="14"/>
        <v>96.209335219235911</v>
      </c>
      <c r="U20" s="4">
        <f t="shared" si="15"/>
        <v>72.1570014144271</v>
      </c>
      <c r="V20" s="4">
        <f t="shared" si="16"/>
        <v>28.86280056577084</v>
      </c>
      <c r="W20" s="4">
        <f t="shared" si="17"/>
        <v>22.448844884488445</v>
      </c>
      <c r="X20" s="4">
        <f t="shared" si="18"/>
        <v>16.034889203206053</v>
      </c>
      <c r="Y20" s="4">
        <f t="shared" si="19"/>
        <v>11.224422442244222</v>
      </c>
      <c r="Z20" s="4">
        <f t="shared" si="20"/>
        <v>20.845355964167815</v>
      </c>
      <c r="AA20" s="4">
        <v>0</v>
      </c>
      <c r="AB20" s="4">
        <v>0</v>
      </c>
      <c r="AC20" s="4">
        <f t="shared" si="21"/>
        <v>113.84771334276259</v>
      </c>
      <c r="AD20" s="4">
        <f t="shared" si="22"/>
        <v>27.259311645450278</v>
      </c>
      <c r="AE20" s="4">
        <f t="shared" si="23"/>
        <v>38.483734087694494</v>
      </c>
      <c r="AF20" s="4">
        <v>0</v>
      </c>
      <c r="AG20" s="4">
        <f t="shared" si="24"/>
        <v>68.9500235737857</v>
      </c>
      <c r="AH20" s="4">
        <f t="shared" si="25"/>
        <v>94.605846298915552</v>
      </c>
      <c r="AI20" s="4">
        <f t="shared" si="26"/>
        <v>36.880245167373864</v>
      </c>
      <c r="AJ20" s="4">
        <f t="shared" si="27"/>
        <v>94.605846298915552</v>
      </c>
      <c r="AK20" s="4">
        <f t="shared" si="28"/>
        <v>52.915134370579921</v>
      </c>
      <c r="AL20" s="4">
        <f t="shared" si="29"/>
        <v>49.708156529938719</v>
      </c>
      <c r="AM20" s="4">
        <v>0</v>
      </c>
      <c r="AN20" s="4">
        <v>0</v>
      </c>
      <c r="AO20" s="4">
        <f t="shared" si="30"/>
        <v>43.294200848656324</v>
      </c>
      <c r="AP20" s="4">
        <f t="shared" si="31"/>
        <v>105.83026874116011</v>
      </c>
      <c r="AQ20" s="4">
        <f t="shared" si="32"/>
        <v>59.329090051862309</v>
      </c>
      <c r="AR20" s="4">
        <f t="shared" si="33"/>
        <v>153.93493635077772</v>
      </c>
      <c r="AS20" s="4">
        <f t="shared" si="34"/>
        <v>28.86280056577084</v>
      </c>
      <c r="AT20" s="4">
        <f t="shared" si="35"/>
        <v>25.655822725129642</v>
      </c>
      <c r="AU20" s="4">
        <f t="shared" si="36"/>
        <v>84.984912776992019</v>
      </c>
      <c r="AV20" s="4">
        <f t="shared" si="37"/>
        <v>44.897689768976889</v>
      </c>
      <c r="AW20" s="4">
        <f t="shared" si="38"/>
        <v>54.518623290900557</v>
      </c>
      <c r="AX20" s="4">
        <f t="shared" si="39"/>
        <v>32.069778406412105</v>
      </c>
      <c r="AY20" s="4">
        <f t="shared" si="40"/>
        <v>139.50353606789244</v>
      </c>
      <c r="AZ20" s="4">
        <f t="shared" si="41"/>
        <v>27.259311645450278</v>
      </c>
      <c r="BA20" s="4">
        <f t="shared" si="42"/>
        <v>27.259311645450278</v>
      </c>
      <c r="BB20" s="4">
        <f t="shared" si="43"/>
        <v>28.86280056577084</v>
      </c>
      <c r="BC20" s="4">
        <f t="shared" si="44"/>
        <v>36.880245167373864</v>
      </c>
      <c r="BD20" s="4">
        <f t="shared" si="45"/>
        <v>181.19424799622792</v>
      </c>
      <c r="BE20" s="4">
        <f t="shared" si="46"/>
        <v>101.01980198019835</v>
      </c>
      <c r="BF20" s="4">
        <f t="shared" si="47"/>
        <v>134.69306930693068</v>
      </c>
      <c r="BG20" s="4">
        <f t="shared" si="48"/>
        <v>19.241867043847247</v>
      </c>
      <c r="BH20" s="4">
        <f t="shared" si="49"/>
        <v>19.241867043847247</v>
      </c>
      <c r="BI20" s="4">
        <f t="shared" si="50"/>
        <v>444.16643092880713</v>
      </c>
      <c r="BJ20" s="4">
        <f t="shared" si="51"/>
        <v>125.07213578500716</v>
      </c>
      <c r="BK20" s="4">
        <v>0</v>
      </c>
      <c r="BL20" s="4">
        <f t="shared" si="52"/>
        <v>123.4686468646868</v>
      </c>
      <c r="BM20" s="4">
        <v>0</v>
      </c>
      <c r="BN20" s="4">
        <v>0</v>
      </c>
      <c r="BO20" s="4">
        <v>0</v>
      </c>
      <c r="BP20" s="4">
        <f t="shared" si="53"/>
        <v>62.53606789250351</v>
      </c>
      <c r="BQ20" s="4">
        <f t="shared" si="54"/>
        <v>44.897689768976889</v>
      </c>
      <c r="BR20" s="4">
        <v>0</v>
      </c>
      <c r="BS20" s="4">
        <v>0</v>
      </c>
      <c r="BT20" s="4">
        <f t="shared" si="55"/>
        <v>105.83026874116011</v>
      </c>
      <c r="BU20" s="4">
        <v>0</v>
      </c>
      <c r="BV20" s="4">
        <f t="shared" si="56"/>
        <v>19.241867043847247</v>
      </c>
      <c r="BW20" s="4">
        <f t="shared" si="57"/>
        <v>9.6209335219235896</v>
      </c>
      <c r="BX20" s="4">
        <f t="shared" si="58"/>
        <v>109.03724658180083</v>
      </c>
      <c r="BY20" s="4">
        <f t="shared" si="59"/>
        <v>75.3639792550685</v>
      </c>
      <c r="BZ20" s="4">
        <f t="shared" si="60"/>
        <v>109.03724658180083</v>
      </c>
      <c r="CA20" s="4">
        <f t="shared" si="61"/>
        <v>97.812824139556952</v>
      </c>
      <c r="CB20" s="4">
        <f t="shared" si="62"/>
        <v>113.84771334276259</v>
      </c>
      <c r="CC20" s="4">
        <f t="shared" si="63"/>
        <v>62.53606789250351</v>
      </c>
      <c r="CD20" s="4">
        <f t="shared" si="64"/>
        <v>208.45355964167814</v>
      </c>
      <c r="CE20" s="4">
        <v>0</v>
      </c>
      <c r="CF20" s="4">
        <f t="shared" si="65"/>
        <v>86.588401697312378</v>
      </c>
      <c r="CG20" s="4">
        <f t="shared" si="66"/>
        <v>32.069778406412105</v>
      </c>
      <c r="CH20" s="4">
        <f t="shared" si="67"/>
        <v>17.638378123526618</v>
      </c>
      <c r="CI20" s="4">
        <f t="shared" si="68"/>
        <v>38.483734087694494</v>
      </c>
      <c r="CJ20" s="4">
        <f t="shared" si="69"/>
        <v>33.67326732673267</v>
      </c>
      <c r="CK20" s="4">
        <v>0</v>
      </c>
      <c r="CL20" s="4">
        <f t="shared" si="70"/>
        <v>76.967468175388859</v>
      </c>
      <c r="CM20" s="4">
        <v>0</v>
      </c>
      <c r="CN20" s="4">
        <f t="shared" si="71"/>
        <v>261.36869401225817</v>
      </c>
      <c r="CO20" s="4">
        <f t="shared" si="72"/>
        <v>16.034889203206053</v>
      </c>
      <c r="CP20" s="4">
        <f t="shared" si="73"/>
        <v>104.22677982083907</v>
      </c>
      <c r="CQ20" s="4">
        <f t="shared" si="74"/>
        <v>19.241867043847247</v>
      </c>
      <c r="CR20" s="4">
        <f t="shared" si="75"/>
        <v>48.10466760961809</v>
      </c>
      <c r="CS20" s="4">
        <f t="shared" si="76"/>
        <v>67.346534653465341</v>
      </c>
      <c r="CT20" s="4">
        <f t="shared" si="77"/>
        <v>60.932578972182938</v>
      </c>
      <c r="CU20" s="4">
        <f t="shared" si="78"/>
        <v>24.052333804809081</v>
      </c>
      <c r="CV20" s="4">
        <f t="shared" si="79"/>
        <v>54.518623290900557</v>
      </c>
      <c r="CW20" s="4">
        <f t="shared" si="80"/>
        <v>67.346534653465341</v>
      </c>
      <c r="CX20" s="4">
        <f t="shared" si="81"/>
        <v>59.329090051862309</v>
      </c>
      <c r="CY20" s="4">
        <f t="shared" si="82"/>
        <v>35.276756247053306</v>
      </c>
      <c r="CZ20" s="4">
        <f t="shared" si="83"/>
        <v>8.0174446016030263</v>
      </c>
      <c r="DA20" s="4">
        <f t="shared" si="84"/>
        <v>36.880245167373864</v>
      </c>
      <c r="DB20" s="4">
        <f t="shared" si="85"/>
        <v>60.932578972182938</v>
      </c>
      <c r="DC20" s="4">
        <f t="shared" si="86"/>
        <v>49.708156529938719</v>
      </c>
      <c r="DD20" s="4">
        <f t="shared" si="87"/>
        <v>68.9500235737857</v>
      </c>
      <c r="DE20" s="4">
        <f t="shared" si="88"/>
        <v>80.174446016030274</v>
      </c>
      <c r="DF20" s="4">
        <f t="shared" si="89"/>
        <v>3.2069778406412035</v>
      </c>
      <c r="DG20" s="4">
        <f t="shared" si="90"/>
        <v>12.827911362564857</v>
      </c>
      <c r="DH20" s="4">
        <f t="shared" si="91"/>
        <v>62.53606789250351</v>
      </c>
      <c r="DI20" s="4">
        <v>0</v>
      </c>
      <c r="DJ20" s="4">
        <f t="shared" si="92"/>
        <v>109.03724658180083</v>
      </c>
      <c r="DK20" s="4">
        <f t="shared" si="93"/>
        <v>9.6209335219235896</v>
      </c>
      <c r="DL20" s="4">
        <f t="shared" si="94"/>
        <v>12.827911362564857</v>
      </c>
      <c r="DM20" s="4">
        <f t="shared" si="95"/>
        <v>35.276756247053306</v>
      </c>
      <c r="DN20" s="4">
        <f t="shared" si="96"/>
        <v>295.0419613389912</v>
      </c>
      <c r="DO20" s="4">
        <f t="shared" si="97"/>
        <v>32.069778406412105</v>
      </c>
      <c r="DP20" s="4">
        <f t="shared" si="98"/>
        <v>52.915134370579921</v>
      </c>
    </row>
    <row r="21" spans="1:120" x14ac:dyDescent="0.35">
      <c r="A21" s="3">
        <v>20</v>
      </c>
      <c r="B21" s="3">
        <v>6027</v>
      </c>
      <c r="C21" s="3">
        <f t="shared" si="0"/>
        <v>72.460396039603822</v>
      </c>
      <c r="D21" s="4">
        <f t="shared" si="1"/>
        <v>28.41584158415845</v>
      </c>
      <c r="E21" s="4">
        <f t="shared" si="2"/>
        <v>55.410891089108887</v>
      </c>
      <c r="F21" s="4">
        <f t="shared" si="3"/>
        <v>55.410891089108887</v>
      </c>
      <c r="G21" s="4">
        <v>0</v>
      </c>
      <c r="H21" s="4">
        <f t="shared" si="4"/>
        <v>73.881188118812133</v>
      </c>
      <c r="I21" s="4">
        <f t="shared" si="5"/>
        <v>26.995049504950497</v>
      </c>
      <c r="J21" s="4">
        <f t="shared" si="6"/>
        <v>39.78217821782178</v>
      </c>
      <c r="K21" s="4">
        <v>0</v>
      </c>
      <c r="L21" s="4">
        <v>0</v>
      </c>
      <c r="M21" s="4">
        <f t="shared" si="7"/>
        <v>99.455445544554451</v>
      </c>
      <c r="N21" s="4">
        <f t="shared" si="8"/>
        <v>66.777227722772395</v>
      </c>
      <c r="O21" s="4">
        <f t="shared" si="9"/>
        <v>48.30693069306934</v>
      </c>
      <c r="P21" s="4">
        <f t="shared" si="10"/>
        <v>19.89108910891089</v>
      </c>
      <c r="Q21" s="4">
        <f t="shared" si="11"/>
        <v>127.87128712871277</v>
      </c>
      <c r="R21" s="4">
        <f t="shared" si="12"/>
        <v>35.519801980197997</v>
      </c>
      <c r="S21" s="4">
        <f t="shared" si="13"/>
        <v>15.62871287128711</v>
      </c>
      <c r="T21" s="4">
        <f t="shared" si="14"/>
        <v>85.247524752474988</v>
      </c>
      <c r="U21" s="4">
        <f t="shared" si="15"/>
        <v>63.935643564356383</v>
      </c>
      <c r="V21" s="4">
        <f t="shared" si="16"/>
        <v>25.574257425742552</v>
      </c>
      <c r="W21" s="4">
        <f t="shared" si="17"/>
        <v>19.89108910891089</v>
      </c>
      <c r="X21" s="4">
        <f t="shared" si="18"/>
        <v>14.207920792079225</v>
      </c>
      <c r="Y21" s="4">
        <f t="shared" si="19"/>
        <v>9.9455445544554451</v>
      </c>
      <c r="Z21" s="4">
        <f t="shared" si="20"/>
        <v>18.470297029702945</v>
      </c>
      <c r="AA21" s="4">
        <v>0</v>
      </c>
      <c r="AB21" s="4">
        <v>0</v>
      </c>
      <c r="AC21" s="4">
        <f t="shared" si="21"/>
        <v>100.87623762376215</v>
      </c>
      <c r="AD21" s="4">
        <f t="shared" si="22"/>
        <v>24.15346534653467</v>
      </c>
      <c r="AE21" s="4">
        <f t="shared" si="23"/>
        <v>34.099009900990112</v>
      </c>
      <c r="AF21" s="4">
        <v>0</v>
      </c>
      <c r="AG21" s="4">
        <f t="shared" si="24"/>
        <v>61.094059405940371</v>
      </c>
      <c r="AH21" s="4">
        <f t="shared" si="25"/>
        <v>83.826732673267273</v>
      </c>
      <c r="AI21" s="4">
        <f t="shared" si="26"/>
        <v>32.678217821782162</v>
      </c>
      <c r="AJ21" s="4">
        <f t="shared" si="27"/>
        <v>83.826732673267273</v>
      </c>
      <c r="AK21" s="4">
        <f t="shared" si="28"/>
        <v>46.886138613861391</v>
      </c>
      <c r="AL21" s="4">
        <f t="shared" si="29"/>
        <v>44.044554455445557</v>
      </c>
      <c r="AM21" s="4">
        <v>0</v>
      </c>
      <c r="AN21" s="4">
        <v>0</v>
      </c>
      <c r="AO21" s="4">
        <f t="shared" si="30"/>
        <v>38.361386138613888</v>
      </c>
      <c r="AP21" s="4">
        <f t="shared" si="31"/>
        <v>93.772277227723023</v>
      </c>
      <c r="AQ21" s="4">
        <f t="shared" si="32"/>
        <v>52.569306930693052</v>
      </c>
      <c r="AR21" s="4">
        <f t="shared" si="33"/>
        <v>136.39603960396022</v>
      </c>
      <c r="AS21" s="4">
        <f t="shared" si="34"/>
        <v>25.574257425742552</v>
      </c>
      <c r="AT21" s="4">
        <f t="shared" si="35"/>
        <v>22.732673267326721</v>
      </c>
      <c r="AU21" s="4">
        <f t="shared" si="36"/>
        <v>75.301980198019834</v>
      </c>
      <c r="AV21" s="4">
        <f t="shared" si="37"/>
        <v>39.78217821782178</v>
      </c>
      <c r="AW21" s="4">
        <f t="shared" si="38"/>
        <v>48.30693069306934</v>
      </c>
      <c r="AX21" s="4">
        <f t="shared" si="39"/>
        <v>28.41584158415845</v>
      </c>
      <c r="AY21" s="4">
        <f t="shared" si="40"/>
        <v>123.60891089108905</v>
      </c>
      <c r="AZ21" s="4">
        <f t="shared" si="41"/>
        <v>24.15346534653467</v>
      </c>
      <c r="BA21" s="4">
        <f t="shared" si="42"/>
        <v>24.15346534653467</v>
      </c>
      <c r="BB21" s="4">
        <f t="shared" si="43"/>
        <v>25.574257425742552</v>
      </c>
      <c r="BC21" s="4">
        <f t="shared" si="44"/>
        <v>32.678217821782162</v>
      </c>
      <c r="BD21" s="4">
        <f t="shared" si="45"/>
        <v>160.54950495049482</v>
      </c>
      <c r="BE21" s="4">
        <f t="shared" si="46"/>
        <v>89.509900990099297</v>
      </c>
      <c r="BF21" s="4">
        <f t="shared" si="47"/>
        <v>119.34653465346533</v>
      </c>
      <c r="BG21" s="4">
        <f t="shared" si="48"/>
        <v>17.049504950495056</v>
      </c>
      <c r="BH21" s="4">
        <f t="shared" si="49"/>
        <v>17.049504950495056</v>
      </c>
      <c r="BI21" s="4">
        <f t="shared" si="50"/>
        <v>393.55940594059405</v>
      </c>
      <c r="BJ21" s="4">
        <f t="shared" si="51"/>
        <v>110.8217821782179</v>
      </c>
      <c r="BK21" s="4">
        <v>0</v>
      </c>
      <c r="BL21" s="4">
        <f t="shared" si="52"/>
        <v>109.4009900990102</v>
      </c>
      <c r="BM21" s="4">
        <v>0</v>
      </c>
      <c r="BN21" s="4">
        <v>0</v>
      </c>
      <c r="BO21" s="4">
        <v>0</v>
      </c>
      <c r="BP21" s="4">
        <f t="shared" si="53"/>
        <v>55.410891089108887</v>
      </c>
      <c r="BQ21" s="4">
        <f t="shared" si="54"/>
        <v>39.78217821782178</v>
      </c>
      <c r="BR21" s="4">
        <v>0</v>
      </c>
      <c r="BS21" s="4">
        <v>0</v>
      </c>
      <c r="BT21" s="4">
        <f t="shared" si="55"/>
        <v>93.772277227723023</v>
      </c>
      <c r="BU21" s="4">
        <v>0</v>
      </c>
      <c r="BV21" s="4">
        <f t="shared" si="56"/>
        <v>17.049504950495056</v>
      </c>
      <c r="BW21" s="4">
        <f t="shared" si="57"/>
        <v>8.5247524752474977</v>
      </c>
      <c r="BX21" s="4">
        <f t="shared" si="58"/>
        <v>96.613861386138424</v>
      </c>
      <c r="BY21" s="4">
        <f t="shared" si="59"/>
        <v>66.777227722772395</v>
      </c>
      <c r="BZ21" s="4">
        <f t="shared" si="60"/>
        <v>96.613861386138424</v>
      </c>
      <c r="CA21" s="4">
        <f t="shared" si="61"/>
        <v>86.668316831683299</v>
      </c>
      <c r="CB21" s="4">
        <f t="shared" si="62"/>
        <v>100.87623762376215</v>
      </c>
      <c r="CC21" s="4">
        <f t="shared" si="63"/>
        <v>55.410891089108887</v>
      </c>
      <c r="CD21" s="4">
        <f t="shared" si="64"/>
        <v>184.70297029702942</v>
      </c>
      <c r="CE21" s="4">
        <v>0</v>
      </c>
      <c r="CF21" s="4">
        <f t="shared" si="65"/>
        <v>76.722772277227534</v>
      </c>
      <c r="CG21" s="4">
        <f t="shared" si="66"/>
        <v>28.41584158415845</v>
      </c>
      <c r="CH21" s="4">
        <f t="shared" si="67"/>
        <v>15.62871287128711</v>
      </c>
      <c r="CI21" s="4">
        <f t="shared" si="68"/>
        <v>34.099009900990112</v>
      </c>
      <c r="CJ21" s="4">
        <f t="shared" si="69"/>
        <v>29.836633663366332</v>
      </c>
      <c r="CK21" s="4">
        <v>0</v>
      </c>
      <c r="CL21" s="4">
        <f t="shared" si="70"/>
        <v>68.198019801980109</v>
      </c>
      <c r="CM21" s="4">
        <v>0</v>
      </c>
      <c r="CN21" s="4">
        <f t="shared" si="71"/>
        <v>231.58910891089093</v>
      </c>
      <c r="CO21" s="4">
        <f t="shared" si="72"/>
        <v>14.207920792079225</v>
      </c>
      <c r="CP21" s="4">
        <f t="shared" si="73"/>
        <v>92.351485148514712</v>
      </c>
      <c r="CQ21" s="4">
        <f t="shared" si="74"/>
        <v>17.049504950495056</v>
      </c>
      <c r="CR21" s="4">
        <f t="shared" si="75"/>
        <v>42.623762376237607</v>
      </c>
      <c r="CS21" s="4">
        <f t="shared" si="76"/>
        <v>59.673267326732663</v>
      </c>
      <c r="CT21" s="4">
        <f t="shared" si="77"/>
        <v>53.990099009900995</v>
      </c>
      <c r="CU21" s="4">
        <f t="shared" si="78"/>
        <v>21.311881188118836</v>
      </c>
      <c r="CV21" s="4">
        <f t="shared" si="79"/>
        <v>48.30693069306934</v>
      </c>
      <c r="CW21" s="4">
        <f t="shared" si="80"/>
        <v>59.673267326732663</v>
      </c>
      <c r="CX21" s="4">
        <f t="shared" si="81"/>
        <v>52.569306930693052</v>
      </c>
      <c r="CY21" s="4">
        <f t="shared" si="82"/>
        <v>31.257425742574281</v>
      </c>
      <c r="CZ21" s="4">
        <f t="shared" si="83"/>
        <v>7.1039603960396125</v>
      </c>
      <c r="DA21" s="4">
        <f t="shared" si="84"/>
        <v>32.678217821782162</v>
      </c>
      <c r="DB21" s="4">
        <f t="shared" si="85"/>
        <v>53.990099009900995</v>
      </c>
      <c r="DC21" s="4">
        <f t="shared" si="86"/>
        <v>44.044554455445557</v>
      </c>
      <c r="DD21" s="4">
        <f t="shared" si="87"/>
        <v>61.094059405940371</v>
      </c>
      <c r="DE21" s="4">
        <f t="shared" si="88"/>
        <v>71.039603960396121</v>
      </c>
      <c r="DF21" s="4">
        <f t="shared" si="89"/>
        <v>2.8415841584158388</v>
      </c>
      <c r="DG21" s="4">
        <f t="shared" si="90"/>
        <v>11.366336633663391</v>
      </c>
      <c r="DH21" s="4">
        <f t="shared" si="91"/>
        <v>55.410891089108887</v>
      </c>
      <c r="DI21" s="4">
        <v>0</v>
      </c>
      <c r="DJ21" s="4">
        <f t="shared" si="92"/>
        <v>96.613861386138424</v>
      </c>
      <c r="DK21" s="4">
        <f t="shared" si="93"/>
        <v>8.5247524752474977</v>
      </c>
      <c r="DL21" s="4">
        <f t="shared" si="94"/>
        <v>11.366336633663391</v>
      </c>
      <c r="DM21" s="4">
        <f t="shared" si="95"/>
        <v>31.257425742574281</v>
      </c>
      <c r="DN21" s="4">
        <f t="shared" si="96"/>
        <v>261.42574257425758</v>
      </c>
      <c r="DO21" s="4">
        <f t="shared" si="97"/>
        <v>28.41584158415845</v>
      </c>
      <c r="DP21" s="4">
        <f t="shared" si="98"/>
        <v>46.886138613861391</v>
      </c>
    </row>
    <row r="22" spans="1:120" x14ac:dyDescent="0.35">
      <c r="A22" s="3">
        <v>21</v>
      </c>
      <c r="B22" s="3">
        <v>5520</v>
      </c>
      <c r="C22" s="3">
        <f t="shared" si="0"/>
        <v>66.36492220650625</v>
      </c>
      <c r="D22" s="4">
        <f t="shared" si="1"/>
        <v>26.025459688826057</v>
      </c>
      <c r="E22" s="4">
        <f t="shared" si="2"/>
        <v>50.749646393210732</v>
      </c>
      <c r="F22" s="4">
        <f t="shared" si="3"/>
        <v>50.749646393210732</v>
      </c>
      <c r="G22" s="4">
        <v>0</v>
      </c>
      <c r="H22" s="4">
        <f t="shared" si="4"/>
        <v>67.666195190947889</v>
      </c>
      <c r="I22" s="4">
        <f t="shared" si="5"/>
        <v>24.724186704384728</v>
      </c>
      <c r="J22" s="4">
        <f t="shared" si="6"/>
        <v>36.435643564356432</v>
      </c>
      <c r="K22" s="4">
        <v>0</v>
      </c>
      <c r="L22" s="4">
        <v>0</v>
      </c>
      <c r="M22" s="4">
        <f t="shared" si="7"/>
        <v>91.089108910891085</v>
      </c>
      <c r="N22" s="4">
        <f t="shared" si="8"/>
        <v>61.159830268741274</v>
      </c>
      <c r="O22" s="4">
        <f t="shared" si="9"/>
        <v>44.243281471004273</v>
      </c>
      <c r="P22" s="4">
        <f t="shared" si="10"/>
        <v>18.217821782178216</v>
      </c>
      <c r="Q22" s="4">
        <f t="shared" si="11"/>
        <v>117.11456859971702</v>
      </c>
      <c r="R22" s="4">
        <f t="shared" si="12"/>
        <v>32.531824611032512</v>
      </c>
      <c r="S22" s="4">
        <f t="shared" si="13"/>
        <v>14.314002828854298</v>
      </c>
      <c r="T22" s="4">
        <f t="shared" si="14"/>
        <v>78.076379066477827</v>
      </c>
      <c r="U22" s="4">
        <f t="shared" si="15"/>
        <v>58.557284299858509</v>
      </c>
      <c r="V22" s="4">
        <f t="shared" si="16"/>
        <v>23.422913719943402</v>
      </c>
      <c r="W22" s="4">
        <f t="shared" si="17"/>
        <v>18.217821782178216</v>
      </c>
      <c r="X22" s="4">
        <f t="shared" si="18"/>
        <v>13.012729844413029</v>
      </c>
      <c r="Y22" s="4">
        <f t="shared" si="19"/>
        <v>9.1089108910891081</v>
      </c>
      <c r="Z22" s="4">
        <f t="shared" si="20"/>
        <v>16.91654879773689</v>
      </c>
      <c r="AA22" s="4">
        <v>0</v>
      </c>
      <c r="AB22" s="4">
        <v>0</v>
      </c>
      <c r="AC22" s="4">
        <f t="shared" si="21"/>
        <v>92.390381895332183</v>
      </c>
      <c r="AD22" s="4">
        <f t="shared" si="22"/>
        <v>22.121640735502137</v>
      </c>
      <c r="AE22" s="4">
        <f t="shared" si="23"/>
        <v>31.23055162659124</v>
      </c>
      <c r="AF22" s="4">
        <v>0</v>
      </c>
      <c r="AG22" s="4">
        <f t="shared" si="24"/>
        <v>55.954738330975751</v>
      </c>
      <c r="AH22" s="4">
        <f t="shared" si="25"/>
        <v>76.775106082036729</v>
      </c>
      <c r="AI22" s="4">
        <f t="shared" si="26"/>
        <v>29.929278642149917</v>
      </c>
      <c r="AJ22" s="4">
        <f t="shared" si="27"/>
        <v>76.775106082036729</v>
      </c>
      <c r="AK22" s="4">
        <f t="shared" si="28"/>
        <v>42.942008486562948</v>
      </c>
      <c r="AL22" s="4">
        <f t="shared" si="29"/>
        <v>40.339462517680353</v>
      </c>
      <c r="AM22" s="4">
        <v>0</v>
      </c>
      <c r="AN22" s="4">
        <v>0</v>
      </c>
      <c r="AO22" s="4">
        <f t="shared" si="30"/>
        <v>35.134370579915164</v>
      </c>
      <c r="AP22" s="4">
        <f t="shared" si="31"/>
        <v>85.884016973126108</v>
      </c>
      <c r="AQ22" s="4">
        <f t="shared" si="32"/>
        <v>48.14710042432813</v>
      </c>
      <c r="AR22" s="4">
        <f t="shared" si="33"/>
        <v>124.92220650636476</v>
      </c>
      <c r="AS22" s="4">
        <f t="shared" si="34"/>
        <v>23.422913719943402</v>
      </c>
      <c r="AT22" s="4">
        <f t="shared" si="35"/>
        <v>20.820367751060811</v>
      </c>
      <c r="AU22" s="4">
        <f t="shared" si="36"/>
        <v>68.967468175389001</v>
      </c>
      <c r="AV22" s="4">
        <f t="shared" si="37"/>
        <v>36.435643564356432</v>
      </c>
      <c r="AW22" s="4">
        <f t="shared" si="38"/>
        <v>44.243281471004273</v>
      </c>
      <c r="AX22" s="4">
        <f t="shared" si="39"/>
        <v>26.025459688826057</v>
      </c>
      <c r="AY22" s="4">
        <f t="shared" si="40"/>
        <v>113.21074964639315</v>
      </c>
      <c r="AZ22" s="4">
        <f t="shared" si="41"/>
        <v>22.121640735502137</v>
      </c>
      <c r="BA22" s="4">
        <f t="shared" si="42"/>
        <v>22.121640735502137</v>
      </c>
      <c r="BB22" s="4">
        <f t="shared" si="43"/>
        <v>23.422913719943402</v>
      </c>
      <c r="BC22" s="4">
        <f t="shared" si="44"/>
        <v>29.929278642149917</v>
      </c>
      <c r="BD22" s="4">
        <f t="shared" si="45"/>
        <v>147.04384724186684</v>
      </c>
      <c r="BE22" s="4">
        <f t="shared" si="46"/>
        <v>81.980198019802245</v>
      </c>
      <c r="BF22" s="4">
        <f t="shared" si="47"/>
        <v>109.30693069306929</v>
      </c>
      <c r="BG22" s="4">
        <f t="shared" si="48"/>
        <v>15.61527581329562</v>
      </c>
      <c r="BH22" s="4">
        <f t="shared" si="49"/>
        <v>15.61527581329562</v>
      </c>
      <c r="BI22" s="4">
        <f t="shared" si="50"/>
        <v>360.45261669024046</v>
      </c>
      <c r="BJ22" s="4">
        <f t="shared" si="51"/>
        <v>101.49929278642158</v>
      </c>
      <c r="BK22" s="4">
        <v>0</v>
      </c>
      <c r="BL22" s="4">
        <f t="shared" si="52"/>
        <v>100.19801980198048</v>
      </c>
      <c r="BM22" s="4">
        <v>0</v>
      </c>
      <c r="BN22" s="4">
        <v>0</v>
      </c>
      <c r="BO22" s="4">
        <v>0</v>
      </c>
      <c r="BP22" s="4">
        <f t="shared" si="53"/>
        <v>50.749646393210732</v>
      </c>
      <c r="BQ22" s="4">
        <f t="shared" si="54"/>
        <v>36.435643564356432</v>
      </c>
      <c r="BR22" s="4">
        <v>0</v>
      </c>
      <c r="BS22" s="4">
        <v>0</v>
      </c>
      <c r="BT22" s="4">
        <f t="shared" si="55"/>
        <v>85.884016973126108</v>
      </c>
      <c r="BU22" s="4">
        <v>0</v>
      </c>
      <c r="BV22" s="4">
        <f t="shared" si="56"/>
        <v>15.61527581329562</v>
      </c>
      <c r="BW22" s="4">
        <f t="shared" si="57"/>
        <v>7.8076379066477823</v>
      </c>
      <c r="BX22" s="4">
        <f t="shared" si="58"/>
        <v>88.48656294200832</v>
      </c>
      <c r="BY22" s="4">
        <f t="shared" si="59"/>
        <v>61.159830268741274</v>
      </c>
      <c r="BZ22" s="4">
        <f t="shared" si="60"/>
        <v>88.48656294200832</v>
      </c>
      <c r="CA22" s="4">
        <f t="shared" si="61"/>
        <v>79.377652050919494</v>
      </c>
      <c r="CB22" s="4">
        <f t="shared" si="62"/>
        <v>92.390381895332183</v>
      </c>
      <c r="CC22" s="4">
        <f t="shared" si="63"/>
        <v>50.749646393210732</v>
      </c>
      <c r="CD22" s="4">
        <f t="shared" si="64"/>
        <v>169.16548797736891</v>
      </c>
      <c r="CE22" s="4">
        <v>0</v>
      </c>
      <c r="CF22" s="4">
        <f t="shared" si="65"/>
        <v>70.2687411598301</v>
      </c>
      <c r="CG22" s="4">
        <f t="shared" si="66"/>
        <v>26.025459688826057</v>
      </c>
      <c r="CH22" s="4">
        <f t="shared" si="67"/>
        <v>14.314002828854298</v>
      </c>
      <c r="CI22" s="4">
        <f t="shared" si="68"/>
        <v>31.23055162659124</v>
      </c>
      <c r="CJ22" s="4">
        <f t="shared" si="69"/>
        <v>27.326732673267323</v>
      </c>
      <c r="CK22" s="4">
        <v>0</v>
      </c>
      <c r="CL22" s="4">
        <f t="shared" si="70"/>
        <v>62.46110325318238</v>
      </c>
      <c r="CM22" s="4">
        <v>0</v>
      </c>
      <c r="CN22" s="4">
        <f t="shared" si="71"/>
        <v>212.10749646393194</v>
      </c>
      <c r="CO22" s="4">
        <f t="shared" si="72"/>
        <v>13.012729844413029</v>
      </c>
      <c r="CP22" s="4">
        <f t="shared" si="73"/>
        <v>84.582743988684456</v>
      </c>
      <c r="CQ22" s="4">
        <f t="shared" si="74"/>
        <v>15.61527581329562</v>
      </c>
      <c r="CR22" s="4">
        <f t="shared" si="75"/>
        <v>39.038189533239027</v>
      </c>
      <c r="CS22" s="4">
        <f t="shared" si="76"/>
        <v>54.653465346534645</v>
      </c>
      <c r="CT22" s="4">
        <f t="shared" si="77"/>
        <v>49.448373408769456</v>
      </c>
      <c r="CU22" s="4">
        <f t="shared" si="78"/>
        <v>19.519094766619542</v>
      </c>
      <c r="CV22" s="4">
        <f t="shared" si="79"/>
        <v>44.243281471004273</v>
      </c>
      <c r="CW22" s="4">
        <f t="shared" si="80"/>
        <v>54.653465346534645</v>
      </c>
      <c r="CX22" s="4">
        <f t="shared" si="81"/>
        <v>48.14710042432813</v>
      </c>
      <c r="CY22" s="4">
        <f t="shared" si="82"/>
        <v>28.628005657708652</v>
      </c>
      <c r="CZ22" s="4">
        <f t="shared" si="83"/>
        <v>6.5063649222065143</v>
      </c>
      <c r="DA22" s="4">
        <f t="shared" si="84"/>
        <v>29.929278642149917</v>
      </c>
      <c r="DB22" s="4">
        <f t="shared" si="85"/>
        <v>49.448373408769456</v>
      </c>
      <c r="DC22" s="4">
        <f t="shared" si="86"/>
        <v>40.339462517680353</v>
      </c>
      <c r="DD22" s="4">
        <f t="shared" si="87"/>
        <v>55.954738330975751</v>
      </c>
      <c r="DE22" s="4">
        <f t="shared" si="88"/>
        <v>65.063649222065138</v>
      </c>
      <c r="DF22" s="4">
        <f t="shared" si="89"/>
        <v>2.6025459688826</v>
      </c>
      <c r="DG22" s="4">
        <f t="shared" si="90"/>
        <v>10.410183875530432</v>
      </c>
      <c r="DH22" s="4">
        <f t="shared" si="91"/>
        <v>50.749646393210732</v>
      </c>
      <c r="DI22" s="4">
        <v>0</v>
      </c>
      <c r="DJ22" s="4">
        <f t="shared" si="92"/>
        <v>88.48656294200832</v>
      </c>
      <c r="DK22" s="4">
        <f t="shared" si="93"/>
        <v>7.8076379066477823</v>
      </c>
      <c r="DL22" s="4">
        <f t="shared" si="94"/>
        <v>10.410183875530432</v>
      </c>
      <c r="DM22" s="4">
        <f t="shared" si="95"/>
        <v>28.628005657708652</v>
      </c>
      <c r="DN22" s="4">
        <f t="shared" si="96"/>
        <v>239.43422913719957</v>
      </c>
      <c r="DO22" s="4">
        <f t="shared" si="97"/>
        <v>26.025459688826057</v>
      </c>
      <c r="DP22" s="4">
        <f t="shared" si="98"/>
        <v>42.942008486562948</v>
      </c>
    </row>
    <row r="23" spans="1:120" x14ac:dyDescent="0.35">
      <c r="A23" s="3">
        <v>22</v>
      </c>
      <c r="B23" s="3">
        <v>5116</v>
      </c>
      <c r="C23" s="3">
        <f t="shared" si="0"/>
        <v>61.507779349363396</v>
      </c>
      <c r="D23" s="4">
        <f t="shared" si="1"/>
        <v>24.120697784064149</v>
      </c>
      <c r="E23" s="4">
        <f t="shared" si="2"/>
        <v>47.035360678925016</v>
      </c>
      <c r="F23" s="4">
        <f t="shared" si="3"/>
        <v>47.035360678925016</v>
      </c>
      <c r="G23" s="4">
        <v>0</v>
      </c>
      <c r="H23" s="4">
        <f t="shared" si="4"/>
        <v>62.713814238566925</v>
      </c>
      <c r="I23" s="4">
        <f t="shared" si="5"/>
        <v>22.914662894860918</v>
      </c>
      <c r="J23" s="4">
        <f t="shared" si="6"/>
        <v>33.768976897689768</v>
      </c>
      <c r="K23" s="4">
        <v>0</v>
      </c>
      <c r="L23" s="4">
        <v>0</v>
      </c>
      <c r="M23" s="4">
        <f t="shared" si="7"/>
        <v>84.422442244224413</v>
      </c>
      <c r="N23" s="4">
        <f t="shared" si="8"/>
        <v>56.683639792550792</v>
      </c>
      <c r="O23" s="4">
        <f t="shared" si="9"/>
        <v>41.005186232909033</v>
      </c>
      <c r="P23" s="4">
        <f t="shared" si="10"/>
        <v>16.884488448844884</v>
      </c>
      <c r="Q23" s="4">
        <f t="shared" si="11"/>
        <v>108.54314002828846</v>
      </c>
      <c r="R23" s="4">
        <f t="shared" si="12"/>
        <v>30.150872230080132</v>
      </c>
      <c r="S23" s="4">
        <f t="shared" si="13"/>
        <v>13.26638378123525</v>
      </c>
      <c r="T23" s="4">
        <f t="shared" si="14"/>
        <v>72.362093352192133</v>
      </c>
      <c r="U23" s="4">
        <f t="shared" si="15"/>
        <v>54.271570014144231</v>
      </c>
      <c r="V23" s="4">
        <f t="shared" si="16"/>
        <v>21.70862800565769</v>
      </c>
      <c r="W23" s="4">
        <f t="shared" si="17"/>
        <v>16.884488448844884</v>
      </c>
      <c r="X23" s="4">
        <f t="shared" si="18"/>
        <v>12.060348892032074</v>
      </c>
      <c r="Y23" s="4">
        <f t="shared" si="19"/>
        <v>8.442244224422442</v>
      </c>
      <c r="Z23" s="4">
        <f t="shared" si="20"/>
        <v>15.678453559641655</v>
      </c>
      <c r="AA23" s="4">
        <v>0</v>
      </c>
      <c r="AB23" s="4">
        <v>0</v>
      </c>
      <c r="AC23" s="4">
        <f t="shared" si="21"/>
        <v>85.628477133427438</v>
      </c>
      <c r="AD23" s="4">
        <f t="shared" si="22"/>
        <v>20.502593116454516</v>
      </c>
      <c r="AE23" s="4">
        <f t="shared" si="23"/>
        <v>28.944837340876955</v>
      </c>
      <c r="AF23" s="4">
        <v>0</v>
      </c>
      <c r="AG23" s="4">
        <f t="shared" si="24"/>
        <v>51.85950023573767</v>
      </c>
      <c r="AH23" s="4">
        <f t="shared" si="25"/>
        <v>71.156058462989108</v>
      </c>
      <c r="AI23" s="4">
        <f t="shared" si="26"/>
        <v>27.738802451673727</v>
      </c>
      <c r="AJ23" s="4">
        <f t="shared" si="27"/>
        <v>71.156058462989108</v>
      </c>
      <c r="AK23" s="4">
        <f t="shared" si="28"/>
        <v>39.799151343705802</v>
      </c>
      <c r="AL23" s="4">
        <f t="shared" si="29"/>
        <v>37.387081565299397</v>
      </c>
      <c r="AM23" s="4">
        <v>0</v>
      </c>
      <c r="AN23" s="4">
        <v>0</v>
      </c>
      <c r="AO23" s="4">
        <f t="shared" si="30"/>
        <v>32.562942008486587</v>
      </c>
      <c r="AP23" s="4">
        <f t="shared" si="31"/>
        <v>79.598302687411802</v>
      </c>
      <c r="AQ23" s="4">
        <f t="shared" si="32"/>
        <v>44.623290900518604</v>
      </c>
      <c r="AR23" s="4">
        <f t="shared" si="33"/>
        <v>115.77934936350762</v>
      </c>
      <c r="AS23" s="4">
        <f t="shared" si="34"/>
        <v>21.70862800565769</v>
      </c>
      <c r="AT23" s="4">
        <f t="shared" si="35"/>
        <v>19.296558227251289</v>
      </c>
      <c r="AU23" s="4">
        <f t="shared" si="36"/>
        <v>63.919849127769943</v>
      </c>
      <c r="AV23" s="4">
        <f t="shared" si="37"/>
        <v>33.768976897689768</v>
      </c>
      <c r="AW23" s="4">
        <f t="shared" si="38"/>
        <v>41.005186232909033</v>
      </c>
      <c r="AX23" s="4">
        <f t="shared" si="39"/>
        <v>24.120697784064149</v>
      </c>
      <c r="AY23" s="4">
        <f t="shared" si="40"/>
        <v>104.92503536067888</v>
      </c>
      <c r="AZ23" s="4">
        <f t="shared" si="41"/>
        <v>20.502593116454516</v>
      </c>
      <c r="BA23" s="4">
        <f t="shared" si="42"/>
        <v>20.502593116454516</v>
      </c>
      <c r="BB23" s="4">
        <f t="shared" si="43"/>
        <v>21.70862800565769</v>
      </c>
      <c r="BC23" s="4">
        <f t="shared" si="44"/>
        <v>27.738802451673727</v>
      </c>
      <c r="BD23" s="4">
        <f t="shared" si="45"/>
        <v>136.28194247996208</v>
      </c>
      <c r="BE23" s="4">
        <f t="shared" si="46"/>
        <v>75.980198019802231</v>
      </c>
      <c r="BF23" s="4">
        <f t="shared" si="47"/>
        <v>101.30693069306929</v>
      </c>
      <c r="BG23" s="4">
        <f t="shared" si="48"/>
        <v>14.472418670438477</v>
      </c>
      <c r="BH23" s="4">
        <f t="shared" si="49"/>
        <v>14.472418670438477</v>
      </c>
      <c r="BI23" s="4">
        <f t="shared" si="50"/>
        <v>334.07166430928805</v>
      </c>
      <c r="BJ23" s="4">
        <f t="shared" si="51"/>
        <v>94.070721357850147</v>
      </c>
      <c r="BK23" s="4">
        <v>0</v>
      </c>
      <c r="BL23" s="4">
        <f t="shared" si="52"/>
        <v>92.864686468647122</v>
      </c>
      <c r="BM23" s="4">
        <v>0</v>
      </c>
      <c r="BN23" s="4">
        <v>0</v>
      </c>
      <c r="BO23" s="4">
        <v>0</v>
      </c>
      <c r="BP23" s="4">
        <f t="shared" si="53"/>
        <v>47.035360678925016</v>
      </c>
      <c r="BQ23" s="4">
        <f t="shared" si="54"/>
        <v>33.768976897689768</v>
      </c>
      <c r="BR23" s="4">
        <v>0</v>
      </c>
      <c r="BS23" s="4">
        <v>0</v>
      </c>
      <c r="BT23" s="4">
        <f t="shared" si="55"/>
        <v>79.598302687411802</v>
      </c>
      <c r="BU23" s="4">
        <v>0</v>
      </c>
      <c r="BV23" s="4">
        <f t="shared" si="56"/>
        <v>14.472418670438477</v>
      </c>
      <c r="BW23" s="4">
        <f t="shared" si="57"/>
        <v>7.2362093352192129</v>
      </c>
      <c r="BX23" s="4">
        <f t="shared" si="58"/>
        <v>82.010372465817852</v>
      </c>
      <c r="BY23" s="4">
        <f t="shared" si="59"/>
        <v>56.683639792550792</v>
      </c>
      <c r="BZ23" s="4">
        <f t="shared" si="60"/>
        <v>82.010372465817852</v>
      </c>
      <c r="CA23" s="4">
        <f t="shared" si="61"/>
        <v>73.568128241395669</v>
      </c>
      <c r="CB23" s="4">
        <f t="shared" si="62"/>
        <v>85.628477133427438</v>
      </c>
      <c r="CC23" s="4">
        <f t="shared" si="63"/>
        <v>47.035360678925016</v>
      </c>
      <c r="CD23" s="4">
        <f t="shared" si="64"/>
        <v>156.78453559641653</v>
      </c>
      <c r="CE23" s="4">
        <v>0</v>
      </c>
      <c r="CF23" s="4">
        <f t="shared" si="65"/>
        <v>65.125884016972975</v>
      </c>
      <c r="CG23" s="4">
        <f t="shared" si="66"/>
        <v>24.120697784064149</v>
      </c>
      <c r="CH23" s="4">
        <f t="shared" si="67"/>
        <v>13.26638378123525</v>
      </c>
      <c r="CI23" s="4">
        <f t="shared" si="68"/>
        <v>28.944837340876955</v>
      </c>
      <c r="CJ23" s="4">
        <f t="shared" si="69"/>
        <v>25.326732673267323</v>
      </c>
      <c r="CK23" s="4">
        <v>0</v>
      </c>
      <c r="CL23" s="4">
        <f t="shared" si="70"/>
        <v>57.88967468175381</v>
      </c>
      <c r="CM23" s="4">
        <v>0</v>
      </c>
      <c r="CN23" s="4">
        <f t="shared" si="71"/>
        <v>196.58368694012245</v>
      </c>
      <c r="CO23" s="4">
        <f t="shared" si="72"/>
        <v>12.060348892032074</v>
      </c>
      <c r="CP23" s="4">
        <f t="shared" si="73"/>
        <v>78.392267798208266</v>
      </c>
      <c r="CQ23" s="4">
        <f t="shared" si="74"/>
        <v>14.472418670438477</v>
      </c>
      <c r="CR23" s="4">
        <f t="shared" si="75"/>
        <v>36.181046676096173</v>
      </c>
      <c r="CS23" s="4">
        <f t="shared" si="76"/>
        <v>50.653465346534645</v>
      </c>
      <c r="CT23" s="4">
        <f t="shared" si="77"/>
        <v>45.829325789721835</v>
      </c>
      <c r="CU23" s="4">
        <f t="shared" si="78"/>
        <v>18.090523338048111</v>
      </c>
      <c r="CV23" s="4">
        <f t="shared" si="79"/>
        <v>41.005186232909033</v>
      </c>
      <c r="CW23" s="4">
        <f t="shared" si="80"/>
        <v>50.653465346534645</v>
      </c>
      <c r="CX23" s="4">
        <f t="shared" si="81"/>
        <v>44.623290900518604</v>
      </c>
      <c r="CY23" s="4">
        <f t="shared" si="82"/>
        <v>26.532767562470553</v>
      </c>
      <c r="CZ23" s="4">
        <f t="shared" si="83"/>
        <v>6.0301744460160371</v>
      </c>
      <c r="DA23" s="4">
        <f t="shared" si="84"/>
        <v>27.738802451673727</v>
      </c>
      <c r="DB23" s="4">
        <f t="shared" si="85"/>
        <v>45.829325789721835</v>
      </c>
      <c r="DC23" s="4">
        <f t="shared" si="86"/>
        <v>37.387081565299397</v>
      </c>
      <c r="DD23" s="4">
        <f t="shared" si="87"/>
        <v>51.85950023573767</v>
      </c>
      <c r="DE23" s="4">
        <f t="shared" si="88"/>
        <v>60.301744460160371</v>
      </c>
      <c r="DF23" s="4">
        <f t="shared" si="89"/>
        <v>2.4120697784064093</v>
      </c>
      <c r="DG23" s="4">
        <f t="shared" si="90"/>
        <v>9.6482791136256694</v>
      </c>
      <c r="DH23" s="4">
        <f t="shared" si="91"/>
        <v>47.035360678925016</v>
      </c>
      <c r="DI23" s="4">
        <v>0</v>
      </c>
      <c r="DJ23" s="4">
        <f t="shared" si="92"/>
        <v>82.010372465817852</v>
      </c>
      <c r="DK23" s="4">
        <f t="shared" si="93"/>
        <v>7.2362093352192129</v>
      </c>
      <c r="DL23" s="4">
        <f t="shared" si="94"/>
        <v>9.6482791136256694</v>
      </c>
      <c r="DM23" s="4">
        <f t="shared" si="95"/>
        <v>26.532767562470553</v>
      </c>
      <c r="DN23" s="4">
        <f t="shared" si="96"/>
        <v>221.91041961339005</v>
      </c>
      <c r="DO23" s="4">
        <f t="shared" si="97"/>
        <v>24.120697784064149</v>
      </c>
      <c r="DP23" s="4">
        <f t="shared" si="98"/>
        <v>39.799151343705802</v>
      </c>
    </row>
    <row r="24" spans="1:120" x14ac:dyDescent="0.35">
      <c r="A24" s="3">
        <v>23</v>
      </c>
      <c r="B24" s="3">
        <v>4937</v>
      </c>
      <c r="C24" s="3">
        <f t="shared" si="0"/>
        <v>59.355728429985746</v>
      </c>
      <c r="D24" s="4">
        <f t="shared" si="1"/>
        <v>23.276756247053303</v>
      </c>
      <c r="E24" s="4">
        <f t="shared" si="2"/>
        <v>45.389674681753874</v>
      </c>
      <c r="F24" s="4">
        <f t="shared" si="3"/>
        <v>45.389674681753874</v>
      </c>
      <c r="G24" s="4">
        <v>0</v>
      </c>
      <c r="H24" s="4">
        <f t="shared" si="4"/>
        <v>60.519566242338719</v>
      </c>
      <c r="I24" s="4">
        <f t="shared" si="5"/>
        <v>22.112918434700617</v>
      </c>
      <c r="J24" s="4">
        <f t="shared" si="6"/>
        <v>32.587458745874585</v>
      </c>
      <c r="K24" s="4">
        <v>0</v>
      </c>
      <c r="L24" s="4">
        <v>0</v>
      </c>
      <c r="M24" s="4">
        <f t="shared" si="7"/>
        <v>81.468646864686463</v>
      </c>
      <c r="N24" s="4">
        <f t="shared" si="8"/>
        <v>54.700377180575302</v>
      </c>
      <c r="O24" s="4">
        <f t="shared" si="9"/>
        <v>39.570485619990599</v>
      </c>
      <c r="P24" s="4">
        <f t="shared" si="10"/>
        <v>16.293729372937293</v>
      </c>
      <c r="Q24" s="4">
        <f t="shared" si="11"/>
        <v>104.74540311173966</v>
      </c>
      <c r="R24" s="4">
        <f t="shared" si="12"/>
        <v>29.095945308816578</v>
      </c>
      <c r="S24" s="4">
        <f t="shared" si="13"/>
        <v>12.802215935879287</v>
      </c>
      <c r="T24" s="4">
        <f t="shared" si="14"/>
        <v>69.830268741159614</v>
      </c>
      <c r="U24" s="4">
        <f t="shared" si="15"/>
        <v>52.372701555869831</v>
      </c>
      <c r="V24" s="4">
        <f t="shared" si="16"/>
        <v>20.949080622347932</v>
      </c>
      <c r="W24" s="4">
        <f t="shared" si="17"/>
        <v>16.293729372937293</v>
      </c>
      <c r="X24" s="4">
        <f t="shared" si="18"/>
        <v>11.638378123526651</v>
      </c>
      <c r="Y24" s="4">
        <f t="shared" si="19"/>
        <v>8.1468646864686463</v>
      </c>
      <c r="Z24" s="4">
        <f t="shared" si="20"/>
        <v>15.129891560584607</v>
      </c>
      <c r="AA24" s="4">
        <v>0</v>
      </c>
      <c r="AB24" s="4">
        <v>0</v>
      </c>
      <c r="AC24" s="4">
        <f t="shared" si="21"/>
        <v>82.632484677038946</v>
      </c>
      <c r="AD24" s="4">
        <f t="shared" si="22"/>
        <v>19.785242809995299</v>
      </c>
      <c r="AE24" s="4">
        <f t="shared" si="23"/>
        <v>27.932107496463942</v>
      </c>
      <c r="AF24" s="4">
        <v>0</v>
      </c>
      <c r="AG24" s="4">
        <f t="shared" si="24"/>
        <v>50.045025931164361</v>
      </c>
      <c r="AH24" s="4">
        <f t="shared" si="25"/>
        <v>68.666430928807131</v>
      </c>
      <c r="AI24" s="4">
        <f t="shared" si="26"/>
        <v>26.768269684111257</v>
      </c>
      <c r="AJ24" s="4">
        <f t="shared" si="27"/>
        <v>68.666430928807131</v>
      </c>
      <c r="AK24" s="4">
        <f t="shared" si="28"/>
        <v>38.40664780763791</v>
      </c>
      <c r="AL24" s="4">
        <f t="shared" si="29"/>
        <v>36.078972182932588</v>
      </c>
      <c r="AM24" s="4">
        <v>0</v>
      </c>
      <c r="AN24" s="4">
        <v>0</v>
      </c>
      <c r="AO24" s="4">
        <f t="shared" si="30"/>
        <v>31.423620933521946</v>
      </c>
      <c r="AP24" s="4">
        <f t="shared" si="31"/>
        <v>76.813295615276019</v>
      </c>
      <c r="AQ24" s="4">
        <f t="shared" si="32"/>
        <v>43.061999057048546</v>
      </c>
      <c r="AR24" s="4">
        <f t="shared" si="33"/>
        <v>111.72842998585558</v>
      </c>
      <c r="AS24" s="4">
        <f t="shared" si="34"/>
        <v>20.949080622347932</v>
      </c>
      <c r="AT24" s="4">
        <f t="shared" si="35"/>
        <v>18.621404997642614</v>
      </c>
      <c r="AU24" s="4">
        <f t="shared" si="36"/>
        <v>61.683404054691209</v>
      </c>
      <c r="AV24" s="4">
        <f t="shared" si="37"/>
        <v>32.587458745874585</v>
      </c>
      <c r="AW24" s="4">
        <f t="shared" si="38"/>
        <v>39.570485619990599</v>
      </c>
      <c r="AX24" s="4">
        <f t="shared" si="39"/>
        <v>23.276756247053303</v>
      </c>
      <c r="AY24" s="4">
        <f t="shared" si="40"/>
        <v>101.2538896746817</v>
      </c>
      <c r="AZ24" s="4">
        <f t="shared" si="41"/>
        <v>19.785242809995299</v>
      </c>
      <c r="BA24" s="4">
        <f t="shared" si="42"/>
        <v>19.785242809995299</v>
      </c>
      <c r="BB24" s="4">
        <f t="shared" si="43"/>
        <v>20.949080622347932</v>
      </c>
      <c r="BC24" s="4">
        <f t="shared" si="44"/>
        <v>26.768269684111257</v>
      </c>
      <c r="BD24" s="4">
        <f t="shared" si="45"/>
        <v>131.51367279585082</v>
      </c>
      <c r="BE24" s="4">
        <f t="shared" si="46"/>
        <v>73.321782178218058</v>
      </c>
      <c r="BF24" s="4">
        <f t="shared" si="47"/>
        <v>97.762376237623741</v>
      </c>
      <c r="BG24" s="4">
        <f t="shared" si="48"/>
        <v>13.966053748231971</v>
      </c>
      <c r="BH24" s="4">
        <f t="shared" si="49"/>
        <v>13.966053748231971</v>
      </c>
      <c r="BI24" s="4">
        <f t="shared" si="50"/>
        <v>322.38307402168789</v>
      </c>
      <c r="BJ24" s="4">
        <f t="shared" si="51"/>
        <v>90.779349363507848</v>
      </c>
      <c r="BK24" s="4">
        <v>0</v>
      </c>
      <c r="BL24" s="4">
        <f t="shared" si="52"/>
        <v>89.615511551155365</v>
      </c>
      <c r="BM24" s="4">
        <v>0</v>
      </c>
      <c r="BN24" s="4">
        <v>0</v>
      </c>
      <c r="BO24" s="4">
        <v>0</v>
      </c>
      <c r="BP24" s="4">
        <f t="shared" si="53"/>
        <v>45.389674681753874</v>
      </c>
      <c r="BQ24" s="4">
        <f t="shared" si="54"/>
        <v>32.587458745874585</v>
      </c>
      <c r="BR24" s="4">
        <v>0</v>
      </c>
      <c r="BS24" s="4">
        <v>0</v>
      </c>
      <c r="BT24" s="4">
        <f t="shared" si="55"/>
        <v>76.813295615276019</v>
      </c>
      <c r="BU24" s="4">
        <v>0</v>
      </c>
      <c r="BV24" s="4">
        <f t="shared" si="56"/>
        <v>13.966053748231971</v>
      </c>
      <c r="BW24" s="4">
        <f t="shared" si="57"/>
        <v>6.9830268741159607</v>
      </c>
      <c r="BX24" s="4">
        <f t="shared" si="58"/>
        <v>79.140971239980985</v>
      </c>
      <c r="BY24" s="4">
        <f t="shared" si="59"/>
        <v>54.700377180575302</v>
      </c>
      <c r="BZ24" s="4">
        <f t="shared" si="60"/>
        <v>79.140971239980985</v>
      </c>
      <c r="CA24" s="4">
        <f t="shared" si="61"/>
        <v>70.994106553512594</v>
      </c>
      <c r="CB24" s="4">
        <f t="shared" si="62"/>
        <v>82.632484677038946</v>
      </c>
      <c r="CC24" s="4">
        <f t="shared" si="63"/>
        <v>45.389674681753874</v>
      </c>
      <c r="CD24" s="4">
        <f t="shared" si="64"/>
        <v>151.29891560584608</v>
      </c>
      <c r="CE24" s="4">
        <v>0</v>
      </c>
      <c r="CF24" s="4">
        <f t="shared" si="65"/>
        <v>62.847241867043699</v>
      </c>
      <c r="CG24" s="4">
        <f t="shared" si="66"/>
        <v>23.276756247053303</v>
      </c>
      <c r="CH24" s="4">
        <f t="shared" si="67"/>
        <v>12.802215935879287</v>
      </c>
      <c r="CI24" s="4">
        <f t="shared" si="68"/>
        <v>27.932107496463942</v>
      </c>
      <c r="CJ24" s="4">
        <f t="shared" si="69"/>
        <v>24.440594059405935</v>
      </c>
      <c r="CK24" s="4">
        <v>0</v>
      </c>
      <c r="CL24" s="4">
        <f t="shared" si="70"/>
        <v>55.864214992927792</v>
      </c>
      <c r="CM24" s="4">
        <v>0</v>
      </c>
      <c r="CN24" s="4">
        <f t="shared" si="71"/>
        <v>189.70556341348407</v>
      </c>
      <c r="CO24" s="4">
        <f t="shared" si="72"/>
        <v>11.638378123526651</v>
      </c>
      <c r="CP24" s="4">
        <f t="shared" si="73"/>
        <v>75.649457802923038</v>
      </c>
      <c r="CQ24" s="4">
        <f t="shared" si="74"/>
        <v>13.966053748231971</v>
      </c>
      <c r="CR24" s="4">
        <f t="shared" si="75"/>
        <v>34.915134370579906</v>
      </c>
      <c r="CS24" s="4">
        <f t="shared" si="76"/>
        <v>48.88118811881187</v>
      </c>
      <c r="CT24" s="4">
        <f t="shared" si="77"/>
        <v>44.225836869401235</v>
      </c>
      <c r="CU24" s="4">
        <f t="shared" si="78"/>
        <v>17.457567185289978</v>
      </c>
      <c r="CV24" s="4">
        <f t="shared" si="79"/>
        <v>39.570485619990599</v>
      </c>
      <c r="CW24" s="4">
        <f t="shared" si="80"/>
        <v>48.88118811881187</v>
      </c>
      <c r="CX24" s="4">
        <f t="shared" si="81"/>
        <v>43.061999057048546</v>
      </c>
      <c r="CY24" s="4">
        <f t="shared" si="82"/>
        <v>25.604431871758624</v>
      </c>
      <c r="CZ24" s="4">
        <f t="shared" si="83"/>
        <v>5.8191890617633257</v>
      </c>
      <c r="DA24" s="4">
        <f t="shared" si="84"/>
        <v>26.768269684111257</v>
      </c>
      <c r="DB24" s="4">
        <f t="shared" si="85"/>
        <v>44.225836869401235</v>
      </c>
      <c r="DC24" s="4">
        <f t="shared" si="86"/>
        <v>36.078972182932588</v>
      </c>
      <c r="DD24" s="4">
        <f t="shared" si="87"/>
        <v>50.045025931164361</v>
      </c>
      <c r="DE24" s="4">
        <f t="shared" si="88"/>
        <v>58.191890617633263</v>
      </c>
      <c r="DF24" s="4">
        <f t="shared" si="89"/>
        <v>2.3276756247053254</v>
      </c>
      <c r="DG24" s="4">
        <f t="shared" si="90"/>
        <v>9.3107024988213318</v>
      </c>
      <c r="DH24" s="4">
        <f t="shared" si="91"/>
        <v>45.389674681753874</v>
      </c>
      <c r="DI24" s="4">
        <v>0</v>
      </c>
      <c r="DJ24" s="4">
        <f t="shared" si="92"/>
        <v>79.140971239980985</v>
      </c>
      <c r="DK24" s="4">
        <f t="shared" si="93"/>
        <v>6.9830268741159607</v>
      </c>
      <c r="DL24" s="4">
        <f t="shared" si="94"/>
        <v>9.3107024988213318</v>
      </c>
      <c r="DM24" s="4">
        <f t="shared" si="95"/>
        <v>25.604431871758624</v>
      </c>
      <c r="DN24" s="4">
        <f t="shared" si="96"/>
        <v>214.14615747289028</v>
      </c>
      <c r="DO24" s="4">
        <f t="shared" si="97"/>
        <v>23.276756247053303</v>
      </c>
      <c r="DP24" s="4">
        <f t="shared" si="98"/>
        <v>38.40664780763791</v>
      </c>
    </row>
    <row r="25" spans="1:120" x14ac:dyDescent="0.35">
      <c r="A25" s="3">
        <v>24</v>
      </c>
      <c r="B25" s="3">
        <v>4725</v>
      </c>
      <c r="C25" s="3">
        <f t="shared" si="0"/>
        <v>56.806930693069205</v>
      </c>
      <c r="D25" s="4">
        <f t="shared" si="1"/>
        <v>22.277227722772302</v>
      </c>
      <c r="E25" s="4">
        <f t="shared" si="2"/>
        <v>43.440594059405925</v>
      </c>
      <c r="F25" s="4">
        <f t="shared" si="3"/>
        <v>43.440594059405925</v>
      </c>
      <c r="G25" s="4">
        <v>0</v>
      </c>
      <c r="H25" s="4">
        <f t="shared" si="4"/>
        <v>57.920792079208113</v>
      </c>
      <c r="I25" s="4">
        <f t="shared" si="5"/>
        <v>21.163366336633665</v>
      </c>
      <c r="J25" s="4">
        <f t="shared" si="6"/>
        <v>31.188118811881186</v>
      </c>
      <c r="K25" s="4">
        <v>0</v>
      </c>
      <c r="L25" s="4">
        <v>0</v>
      </c>
      <c r="M25" s="4">
        <f t="shared" si="7"/>
        <v>77.970297029702962</v>
      </c>
      <c r="N25" s="4">
        <f t="shared" si="8"/>
        <v>52.351485148514946</v>
      </c>
      <c r="O25" s="4">
        <f t="shared" si="9"/>
        <v>37.8712871287129</v>
      </c>
      <c r="P25" s="4">
        <f t="shared" si="10"/>
        <v>15.594059405940593</v>
      </c>
      <c r="Q25" s="4">
        <f t="shared" si="11"/>
        <v>100.24752475247517</v>
      </c>
      <c r="R25" s="4">
        <f t="shared" si="12"/>
        <v>27.84653465346533</v>
      </c>
      <c r="S25" s="4">
        <f t="shared" si="13"/>
        <v>12.252475247524737</v>
      </c>
      <c r="T25" s="4">
        <f t="shared" si="14"/>
        <v>66.83168316831663</v>
      </c>
      <c r="U25" s="4">
        <f t="shared" si="15"/>
        <v>50.123762376237586</v>
      </c>
      <c r="V25" s="4">
        <f t="shared" si="16"/>
        <v>20.049504950495034</v>
      </c>
      <c r="W25" s="4">
        <f t="shared" si="17"/>
        <v>15.594059405940593</v>
      </c>
      <c r="X25" s="4">
        <f t="shared" si="18"/>
        <v>11.138613861386151</v>
      </c>
      <c r="Y25" s="4">
        <f t="shared" si="19"/>
        <v>7.7970297029702964</v>
      </c>
      <c r="Z25" s="4">
        <f t="shared" si="20"/>
        <v>14.480198019801959</v>
      </c>
      <c r="AA25" s="4">
        <v>0</v>
      </c>
      <c r="AB25" s="4">
        <v>0</v>
      </c>
      <c r="AC25" s="4">
        <f t="shared" si="21"/>
        <v>79.084158415841401</v>
      </c>
      <c r="AD25" s="4">
        <f t="shared" si="22"/>
        <v>18.93564356435645</v>
      </c>
      <c r="AE25" s="4">
        <f t="shared" si="23"/>
        <v>26.732673267326742</v>
      </c>
      <c r="AF25" s="4">
        <v>0</v>
      </c>
      <c r="AG25" s="4">
        <f t="shared" si="24"/>
        <v>47.896039603960219</v>
      </c>
      <c r="AH25" s="4">
        <f t="shared" si="25"/>
        <v>65.717821782178177</v>
      </c>
      <c r="AI25" s="4">
        <f t="shared" si="26"/>
        <v>25.618811881188108</v>
      </c>
      <c r="AJ25" s="4">
        <f t="shared" si="27"/>
        <v>65.717821782178177</v>
      </c>
      <c r="AK25" s="4">
        <f t="shared" si="28"/>
        <v>36.757425742574263</v>
      </c>
      <c r="AL25" s="4">
        <f t="shared" si="29"/>
        <v>34.529702970297038</v>
      </c>
      <c r="AM25" s="4">
        <v>0</v>
      </c>
      <c r="AN25" s="4">
        <v>0</v>
      </c>
      <c r="AO25" s="4">
        <f t="shared" si="30"/>
        <v>30.074257425742598</v>
      </c>
      <c r="AP25" s="4">
        <f t="shared" si="31"/>
        <v>73.514851485148711</v>
      </c>
      <c r="AQ25" s="4">
        <f t="shared" si="32"/>
        <v>41.212871287128699</v>
      </c>
      <c r="AR25" s="4">
        <f t="shared" si="33"/>
        <v>106.93069306930678</v>
      </c>
      <c r="AS25" s="4">
        <f t="shared" si="34"/>
        <v>20.049504950495034</v>
      </c>
      <c r="AT25" s="4">
        <f t="shared" si="35"/>
        <v>17.821782178217813</v>
      </c>
      <c r="AU25" s="4">
        <f t="shared" si="36"/>
        <v>59.034653465346558</v>
      </c>
      <c r="AV25" s="4">
        <f t="shared" si="37"/>
        <v>31.188118811881186</v>
      </c>
      <c r="AW25" s="4">
        <f t="shared" si="38"/>
        <v>37.8712871287129</v>
      </c>
      <c r="AX25" s="4">
        <f t="shared" si="39"/>
        <v>22.277227722772302</v>
      </c>
      <c r="AY25" s="4">
        <f t="shared" si="40"/>
        <v>96.905940594059359</v>
      </c>
      <c r="AZ25" s="4">
        <f t="shared" si="41"/>
        <v>18.93564356435645</v>
      </c>
      <c r="BA25" s="4">
        <f t="shared" si="42"/>
        <v>18.93564356435645</v>
      </c>
      <c r="BB25" s="4">
        <f t="shared" si="43"/>
        <v>20.049504950495034</v>
      </c>
      <c r="BC25" s="4">
        <f t="shared" si="44"/>
        <v>25.618811881188108</v>
      </c>
      <c r="BD25" s="4">
        <f t="shared" si="45"/>
        <v>125.86633663366318</v>
      </c>
      <c r="BE25" s="4">
        <f t="shared" si="46"/>
        <v>70.173267326732898</v>
      </c>
      <c r="BF25" s="4">
        <f t="shared" si="47"/>
        <v>93.564356435643546</v>
      </c>
      <c r="BG25" s="4">
        <f t="shared" si="48"/>
        <v>13.366336633663371</v>
      </c>
      <c r="BH25" s="4">
        <f t="shared" si="49"/>
        <v>13.366336633663371</v>
      </c>
      <c r="BI25" s="4">
        <f t="shared" si="50"/>
        <v>308.53960396039605</v>
      </c>
      <c r="BJ25" s="4">
        <f t="shared" si="51"/>
        <v>86.881188118811949</v>
      </c>
      <c r="BK25" s="4">
        <v>0</v>
      </c>
      <c r="BL25" s="4">
        <f t="shared" si="52"/>
        <v>85.767326732673496</v>
      </c>
      <c r="BM25" s="4">
        <v>0</v>
      </c>
      <c r="BN25" s="4">
        <v>0</v>
      </c>
      <c r="BO25" s="4">
        <v>0</v>
      </c>
      <c r="BP25" s="4">
        <f t="shared" si="53"/>
        <v>43.440594059405925</v>
      </c>
      <c r="BQ25" s="4">
        <f t="shared" si="54"/>
        <v>31.188118811881186</v>
      </c>
      <c r="BR25" s="4">
        <v>0</v>
      </c>
      <c r="BS25" s="4">
        <v>0</v>
      </c>
      <c r="BT25" s="4">
        <f t="shared" si="55"/>
        <v>73.514851485148711</v>
      </c>
      <c r="BU25" s="4">
        <v>0</v>
      </c>
      <c r="BV25" s="4">
        <f t="shared" si="56"/>
        <v>13.366336633663371</v>
      </c>
      <c r="BW25" s="4">
        <f t="shared" si="57"/>
        <v>6.6831683168316616</v>
      </c>
      <c r="BX25" s="4">
        <f t="shared" si="58"/>
        <v>75.742574257425602</v>
      </c>
      <c r="BY25" s="4">
        <f t="shared" si="59"/>
        <v>52.351485148514946</v>
      </c>
      <c r="BZ25" s="4">
        <f t="shared" si="60"/>
        <v>75.742574257425602</v>
      </c>
      <c r="CA25" s="4">
        <f t="shared" si="61"/>
        <v>67.945544554455537</v>
      </c>
      <c r="CB25" s="4">
        <f t="shared" si="62"/>
        <v>79.084158415841401</v>
      </c>
      <c r="CC25" s="4">
        <f t="shared" si="63"/>
        <v>43.440594059405925</v>
      </c>
      <c r="CD25" s="4">
        <f t="shared" si="64"/>
        <v>144.80198019801958</v>
      </c>
      <c r="CE25" s="4">
        <v>0</v>
      </c>
      <c r="CF25" s="4">
        <f t="shared" si="65"/>
        <v>60.148514851485004</v>
      </c>
      <c r="CG25" s="4">
        <f t="shared" si="66"/>
        <v>22.277227722772302</v>
      </c>
      <c r="CH25" s="4">
        <f t="shared" si="67"/>
        <v>12.252475247524737</v>
      </c>
      <c r="CI25" s="4">
        <f t="shared" si="68"/>
        <v>26.732673267326742</v>
      </c>
      <c r="CJ25" s="4">
        <f t="shared" si="69"/>
        <v>23.391089108910887</v>
      </c>
      <c r="CK25" s="4">
        <v>0</v>
      </c>
      <c r="CL25" s="4">
        <f t="shared" si="70"/>
        <v>53.465346534653392</v>
      </c>
      <c r="CM25" s="4">
        <v>0</v>
      </c>
      <c r="CN25" s="4">
        <f t="shared" si="71"/>
        <v>181.55940594059393</v>
      </c>
      <c r="CO25" s="4">
        <f t="shared" si="72"/>
        <v>11.138613861386151</v>
      </c>
      <c r="CP25" s="4">
        <f t="shared" si="73"/>
        <v>72.400990099009789</v>
      </c>
      <c r="CQ25" s="4">
        <f t="shared" si="74"/>
        <v>13.366336633663371</v>
      </c>
      <c r="CR25" s="4">
        <f t="shared" si="75"/>
        <v>33.415841584158407</v>
      </c>
      <c r="CS25" s="4">
        <f t="shared" si="76"/>
        <v>46.782178217821773</v>
      </c>
      <c r="CT25" s="4">
        <f t="shared" si="77"/>
        <v>42.32673267326733</v>
      </c>
      <c r="CU25" s="4">
        <f t="shared" si="78"/>
        <v>16.707920792079229</v>
      </c>
      <c r="CV25" s="4">
        <f t="shared" si="79"/>
        <v>37.8712871287129</v>
      </c>
      <c r="CW25" s="4">
        <f t="shared" si="80"/>
        <v>46.782178217821773</v>
      </c>
      <c r="CX25" s="4">
        <f t="shared" si="81"/>
        <v>41.212871287128699</v>
      </c>
      <c r="CY25" s="4">
        <f t="shared" si="82"/>
        <v>24.504950495049524</v>
      </c>
      <c r="CZ25" s="4">
        <f t="shared" si="83"/>
        <v>5.5693069306930756</v>
      </c>
      <c r="DA25" s="4">
        <f t="shared" si="84"/>
        <v>25.618811881188108</v>
      </c>
      <c r="DB25" s="4">
        <f t="shared" si="85"/>
        <v>42.32673267326733</v>
      </c>
      <c r="DC25" s="4">
        <f t="shared" si="86"/>
        <v>34.529702970297038</v>
      </c>
      <c r="DD25" s="4">
        <f t="shared" si="87"/>
        <v>47.896039603960219</v>
      </c>
      <c r="DE25" s="4">
        <f t="shared" si="88"/>
        <v>55.693069306930759</v>
      </c>
      <c r="DF25" s="4">
        <f t="shared" si="89"/>
        <v>2.2277227722772253</v>
      </c>
      <c r="DG25" s="4">
        <f t="shared" si="90"/>
        <v>8.9108910891089295</v>
      </c>
      <c r="DH25" s="4">
        <f t="shared" si="91"/>
        <v>43.440594059405925</v>
      </c>
      <c r="DI25" s="4">
        <v>0</v>
      </c>
      <c r="DJ25" s="4">
        <f t="shared" si="92"/>
        <v>75.742574257425602</v>
      </c>
      <c r="DK25" s="4">
        <f t="shared" si="93"/>
        <v>6.6831683168316616</v>
      </c>
      <c r="DL25" s="4">
        <f t="shared" si="94"/>
        <v>8.9108910891089295</v>
      </c>
      <c r="DM25" s="4">
        <f t="shared" si="95"/>
        <v>24.504950495049524</v>
      </c>
      <c r="DN25" s="4">
        <f t="shared" si="96"/>
        <v>204.95049504950507</v>
      </c>
      <c r="DO25" s="4">
        <f t="shared" si="97"/>
        <v>22.277227722772302</v>
      </c>
      <c r="DP25" s="4">
        <f t="shared" si="98"/>
        <v>36.757425742574263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E8A7-7189-47A3-980A-C22E844190EA}">
  <dimension ref="A1:Q55"/>
  <sheetViews>
    <sheetView workbookViewId="0">
      <selection activeCell="F1" sqref="F1:G1"/>
    </sheetView>
  </sheetViews>
  <sheetFormatPr defaultRowHeight="14.15" x14ac:dyDescent="0.35"/>
  <sheetData>
    <row r="1" spans="1:17" ht="84.9" x14ac:dyDescent="0.35">
      <c r="A1" s="1" t="s">
        <v>147</v>
      </c>
      <c r="B1" s="1" t="s">
        <v>0</v>
      </c>
      <c r="C1" s="1" t="s">
        <v>148</v>
      </c>
      <c r="D1" s="1" t="s">
        <v>155</v>
      </c>
      <c r="E1" s="1" t="s">
        <v>156</v>
      </c>
      <c r="F1" s="9" t="s">
        <v>157</v>
      </c>
      <c r="G1" s="9" t="s">
        <v>158</v>
      </c>
      <c r="H1" s="1" t="s">
        <v>159</v>
      </c>
      <c r="I1" s="1" t="s">
        <v>160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161</v>
      </c>
      <c r="Q1" s="1" t="s">
        <v>162</v>
      </c>
    </row>
    <row r="2" spans="1:17" x14ac:dyDescent="0.35">
      <c r="A2" s="1">
        <v>1</v>
      </c>
      <c r="B2" s="1">
        <v>1</v>
      </c>
      <c r="C2" s="1">
        <v>5</v>
      </c>
      <c r="D2" s="1">
        <v>100</v>
      </c>
      <c r="E2">
        <v>10</v>
      </c>
      <c r="F2">
        <f>0.5*D2</f>
        <v>50</v>
      </c>
      <c r="G2">
        <f>D2*0.5</f>
        <v>50</v>
      </c>
      <c r="H2">
        <f t="shared" ref="H2:H55" si="0">0.2*D2</f>
        <v>20</v>
      </c>
      <c r="I2">
        <v>20</v>
      </c>
      <c r="J2">
        <f t="shared" ref="J2:J55" si="1">0.1*D2</f>
        <v>10</v>
      </c>
      <c r="K2">
        <v>38</v>
      </c>
      <c r="L2" s="1">
        <v>100</v>
      </c>
      <c r="M2">
        <f t="shared" ref="M2:M55" si="2">K2/4</f>
        <v>9.5</v>
      </c>
      <c r="N2">
        <f t="shared" ref="N2:N55" si="3">K2/4</f>
        <v>9.5</v>
      </c>
      <c r="O2">
        <f t="shared" ref="O2:O55" si="4">K2*0.4</f>
        <v>15.200000000000001</v>
      </c>
      <c r="P2">
        <f>3*L2</f>
        <v>300</v>
      </c>
      <c r="Q2">
        <f>0.75*L2</f>
        <v>75</v>
      </c>
    </row>
    <row r="3" spans="1:17" x14ac:dyDescent="0.35">
      <c r="A3" s="1">
        <v>2</v>
      </c>
      <c r="B3" s="1">
        <v>4</v>
      </c>
      <c r="C3" s="1">
        <v>5</v>
      </c>
      <c r="D3" s="1">
        <v>100</v>
      </c>
      <c r="E3">
        <v>10</v>
      </c>
      <c r="F3">
        <f t="shared" ref="F3:F55" si="5">0.5*D3</f>
        <v>50</v>
      </c>
      <c r="G3">
        <f t="shared" ref="G3:G55" si="6">D3*0.5</f>
        <v>50</v>
      </c>
      <c r="H3">
        <f t="shared" si="0"/>
        <v>20</v>
      </c>
      <c r="I3">
        <v>20</v>
      </c>
      <c r="J3">
        <f t="shared" si="1"/>
        <v>10</v>
      </c>
      <c r="K3">
        <v>38</v>
      </c>
      <c r="L3" s="1">
        <v>100</v>
      </c>
      <c r="M3">
        <f t="shared" si="2"/>
        <v>9.5</v>
      </c>
      <c r="N3">
        <f t="shared" si="3"/>
        <v>9.5</v>
      </c>
      <c r="O3">
        <f t="shared" si="4"/>
        <v>15.200000000000001</v>
      </c>
      <c r="P3">
        <f t="shared" ref="P3:P55" si="7">3*L3</f>
        <v>300</v>
      </c>
      <c r="Q3">
        <f t="shared" ref="Q3:Q55" si="8">0.75*L3</f>
        <v>75</v>
      </c>
    </row>
    <row r="4" spans="1:17" x14ac:dyDescent="0.35">
      <c r="A4" s="1">
        <v>3</v>
      </c>
      <c r="B4" s="1">
        <v>6</v>
      </c>
      <c r="C4" s="1">
        <v>5</v>
      </c>
      <c r="D4" s="1">
        <v>100</v>
      </c>
      <c r="E4">
        <v>10</v>
      </c>
      <c r="F4">
        <f t="shared" si="5"/>
        <v>50</v>
      </c>
      <c r="G4">
        <f t="shared" si="6"/>
        <v>50</v>
      </c>
      <c r="H4">
        <f t="shared" si="0"/>
        <v>20</v>
      </c>
      <c r="I4">
        <v>20</v>
      </c>
      <c r="J4">
        <f t="shared" si="1"/>
        <v>10</v>
      </c>
      <c r="K4">
        <v>38</v>
      </c>
      <c r="L4" s="1">
        <v>100</v>
      </c>
      <c r="M4">
        <f t="shared" si="2"/>
        <v>9.5</v>
      </c>
      <c r="N4">
        <f t="shared" si="3"/>
        <v>9.5</v>
      </c>
      <c r="O4">
        <f t="shared" si="4"/>
        <v>15.200000000000001</v>
      </c>
      <c r="P4">
        <f t="shared" si="7"/>
        <v>300</v>
      </c>
      <c r="Q4">
        <f t="shared" si="8"/>
        <v>75</v>
      </c>
    </row>
    <row r="5" spans="1:17" x14ac:dyDescent="0.35">
      <c r="A5" s="1">
        <v>4</v>
      </c>
      <c r="B5" s="1">
        <v>8</v>
      </c>
      <c r="C5" s="1">
        <v>5</v>
      </c>
      <c r="D5" s="1">
        <v>100</v>
      </c>
      <c r="E5">
        <v>10</v>
      </c>
      <c r="F5">
        <f t="shared" si="5"/>
        <v>50</v>
      </c>
      <c r="G5">
        <f t="shared" si="6"/>
        <v>50</v>
      </c>
      <c r="H5">
        <f t="shared" si="0"/>
        <v>20</v>
      </c>
      <c r="I5">
        <v>20</v>
      </c>
      <c r="J5">
        <f t="shared" si="1"/>
        <v>10</v>
      </c>
      <c r="K5">
        <v>38</v>
      </c>
      <c r="L5" s="1">
        <v>100</v>
      </c>
      <c r="M5">
        <f t="shared" si="2"/>
        <v>9.5</v>
      </c>
      <c r="N5">
        <f t="shared" si="3"/>
        <v>9.5</v>
      </c>
      <c r="O5">
        <f t="shared" si="4"/>
        <v>15.200000000000001</v>
      </c>
      <c r="P5">
        <f t="shared" si="7"/>
        <v>300</v>
      </c>
      <c r="Q5">
        <f t="shared" si="8"/>
        <v>75</v>
      </c>
    </row>
    <row r="6" spans="1:17" x14ac:dyDescent="0.35">
      <c r="A6" s="1">
        <v>5</v>
      </c>
      <c r="B6" s="1">
        <v>10</v>
      </c>
      <c r="C6" s="1">
        <v>5</v>
      </c>
      <c r="D6" s="1">
        <v>550</v>
      </c>
      <c r="E6">
        <v>55</v>
      </c>
      <c r="F6">
        <f t="shared" si="5"/>
        <v>275</v>
      </c>
      <c r="G6">
        <f t="shared" si="6"/>
        <v>275</v>
      </c>
      <c r="H6">
        <f t="shared" si="0"/>
        <v>110</v>
      </c>
      <c r="I6">
        <v>110</v>
      </c>
      <c r="J6">
        <f t="shared" si="1"/>
        <v>55</v>
      </c>
      <c r="K6">
        <v>29</v>
      </c>
      <c r="L6" s="1">
        <v>550</v>
      </c>
      <c r="M6">
        <f t="shared" si="2"/>
        <v>7.25</v>
      </c>
      <c r="N6">
        <f t="shared" si="3"/>
        <v>7.25</v>
      </c>
      <c r="O6">
        <f t="shared" si="4"/>
        <v>11.600000000000001</v>
      </c>
      <c r="P6">
        <f t="shared" si="7"/>
        <v>1650</v>
      </c>
      <c r="Q6">
        <f t="shared" si="8"/>
        <v>412.5</v>
      </c>
    </row>
    <row r="7" spans="1:17" x14ac:dyDescent="0.35">
      <c r="A7" s="1">
        <v>6</v>
      </c>
      <c r="B7" s="1">
        <v>12</v>
      </c>
      <c r="C7" s="1">
        <v>5</v>
      </c>
      <c r="D7" s="1">
        <v>185</v>
      </c>
      <c r="E7">
        <v>20</v>
      </c>
      <c r="F7">
        <f t="shared" si="5"/>
        <v>92.5</v>
      </c>
      <c r="G7">
        <f t="shared" si="6"/>
        <v>92.5</v>
      </c>
      <c r="H7">
        <f t="shared" si="0"/>
        <v>37</v>
      </c>
      <c r="I7">
        <v>37</v>
      </c>
      <c r="J7">
        <f t="shared" si="1"/>
        <v>18.5</v>
      </c>
      <c r="K7">
        <v>36</v>
      </c>
      <c r="L7" s="1">
        <v>185</v>
      </c>
      <c r="M7">
        <f t="shared" si="2"/>
        <v>9</v>
      </c>
      <c r="N7">
        <f t="shared" si="3"/>
        <v>9</v>
      </c>
      <c r="O7">
        <f t="shared" si="4"/>
        <v>14.4</v>
      </c>
      <c r="P7">
        <f t="shared" si="7"/>
        <v>555</v>
      </c>
      <c r="Q7">
        <f t="shared" si="8"/>
        <v>138.75</v>
      </c>
    </row>
    <row r="8" spans="1:17" x14ac:dyDescent="0.35">
      <c r="A8" s="1">
        <v>7</v>
      </c>
      <c r="B8" s="1">
        <v>15</v>
      </c>
      <c r="C8" s="1">
        <v>5</v>
      </c>
      <c r="D8" s="1">
        <v>100</v>
      </c>
      <c r="E8">
        <v>10</v>
      </c>
      <c r="F8">
        <f t="shared" si="5"/>
        <v>50</v>
      </c>
      <c r="G8">
        <f t="shared" si="6"/>
        <v>50</v>
      </c>
      <c r="H8">
        <f t="shared" si="0"/>
        <v>20</v>
      </c>
      <c r="I8">
        <v>20</v>
      </c>
      <c r="J8">
        <f t="shared" si="1"/>
        <v>10</v>
      </c>
      <c r="K8">
        <v>38</v>
      </c>
      <c r="L8" s="1">
        <v>100</v>
      </c>
      <c r="M8">
        <f t="shared" si="2"/>
        <v>9.5</v>
      </c>
      <c r="N8">
        <f t="shared" si="3"/>
        <v>9.5</v>
      </c>
      <c r="O8">
        <f t="shared" si="4"/>
        <v>15.200000000000001</v>
      </c>
      <c r="P8">
        <f t="shared" si="7"/>
        <v>300</v>
      </c>
      <c r="Q8">
        <f t="shared" si="8"/>
        <v>75</v>
      </c>
    </row>
    <row r="9" spans="1:17" x14ac:dyDescent="0.35">
      <c r="A9" s="1">
        <v>8</v>
      </c>
      <c r="B9" s="1">
        <v>18</v>
      </c>
      <c r="C9" s="1">
        <v>5</v>
      </c>
      <c r="D9" s="1">
        <v>100</v>
      </c>
      <c r="E9">
        <v>10</v>
      </c>
      <c r="F9">
        <f t="shared" si="5"/>
        <v>50</v>
      </c>
      <c r="G9">
        <f t="shared" si="6"/>
        <v>50</v>
      </c>
      <c r="H9">
        <f t="shared" si="0"/>
        <v>20</v>
      </c>
      <c r="I9">
        <v>20</v>
      </c>
      <c r="J9">
        <f t="shared" si="1"/>
        <v>10</v>
      </c>
      <c r="K9">
        <v>38</v>
      </c>
      <c r="L9" s="1">
        <v>100</v>
      </c>
      <c r="M9">
        <f t="shared" si="2"/>
        <v>9.5</v>
      </c>
      <c r="N9">
        <f t="shared" si="3"/>
        <v>9.5</v>
      </c>
      <c r="O9">
        <f t="shared" si="4"/>
        <v>15.200000000000001</v>
      </c>
      <c r="P9">
        <f t="shared" si="7"/>
        <v>300</v>
      </c>
      <c r="Q9">
        <f t="shared" si="8"/>
        <v>75</v>
      </c>
    </row>
    <row r="10" spans="1:17" x14ac:dyDescent="0.35">
      <c r="A10" s="1">
        <v>9</v>
      </c>
      <c r="B10" s="1">
        <v>19</v>
      </c>
      <c r="C10" s="1">
        <v>5</v>
      </c>
      <c r="D10" s="1">
        <v>100</v>
      </c>
      <c r="E10">
        <v>10</v>
      </c>
      <c r="F10">
        <f t="shared" si="5"/>
        <v>50</v>
      </c>
      <c r="G10">
        <f t="shared" si="6"/>
        <v>50</v>
      </c>
      <c r="H10">
        <f t="shared" si="0"/>
        <v>20</v>
      </c>
      <c r="I10">
        <v>20</v>
      </c>
      <c r="J10">
        <f t="shared" si="1"/>
        <v>10</v>
      </c>
      <c r="K10">
        <v>38</v>
      </c>
      <c r="L10" s="1">
        <v>100</v>
      </c>
      <c r="M10">
        <f t="shared" si="2"/>
        <v>9.5</v>
      </c>
      <c r="N10">
        <f t="shared" si="3"/>
        <v>9.5</v>
      </c>
      <c r="O10">
        <f t="shared" si="4"/>
        <v>15.200000000000001</v>
      </c>
      <c r="P10">
        <f t="shared" si="7"/>
        <v>300</v>
      </c>
      <c r="Q10">
        <f t="shared" si="8"/>
        <v>75</v>
      </c>
    </row>
    <row r="11" spans="1:17" x14ac:dyDescent="0.35">
      <c r="A11" s="1">
        <v>10</v>
      </c>
      <c r="B11" s="1">
        <v>24</v>
      </c>
      <c r="C11" s="1">
        <v>5</v>
      </c>
      <c r="D11" s="1">
        <v>100</v>
      </c>
      <c r="E11">
        <v>10</v>
      </c>
      <c r="F11">
        <f t="shared" si="5"/>
        <v>50</v>
      </c>
      <c r="G11">
        <f t="shared" si="6"/>
        <v>50</v>
      </c>
      <c r="H11">
        <f t="shared" si="0"/>
        <v>20</v>
      </c>
      <c r="I11">
        <v>20</v>
      </c>
      <c r="J11">
        <f t="shared" si="1"/>
        <v>10</v>
      </c>
      <c r="K11">
        <v>38</v>
      </c>
      <c r="L11" s="1">
        <v>100</v>
      </c>
      <c r="M11">
        <f t="shared" si="2"/>
        <v>9.5</v>
      </c>
      <c r="N11">
        <f t="shared" si="3"/>
        <v>9.5</v>
      </c>
      <c r="O11">
        <f t="shared" si="4"/>
        <v>15.200000000000001</v>
      </c>
      <c r="P11">
        <f t="shared" si="7"/>
        <v>300</v>
      </c>
      <c r="Q11">
        <f t="shared" si="8"/>
        <v>75</v>
      </c>
    </row>
    <row r="12" spans="1:17" x14ac:dyDescent="0.35">
      <c r="A12" s="1">
        <v>11</v>
      </c>
      <c r="B12" s="1">
        <v>25</v>
      </c>
      <c r="C12" s="1">
        <v>5</v>
      </c>
      <c r="D12" s="1">
        <v>320</v>
      </c>
      <c r="E12">
        <v>30</v>
      </c>
      <c r="F12">
        <f t="shared" si="5"/>
        <v>160</v>
      </c>
      <c r="G12">
        <f t="shared" si="6"/>
        <v>160</v>
      </c>
      <c r="H12">
        <f t="shared" si="0"/>
        <v>64</v>
      </c>
      <c r="I12">
        <v>64</v>
      </c>
      <c r="J12">
        <f t="shared" si="1"/>
        <v>32</v>
      </c>
      <c r="K12">
        <v>34</v>
      </c>
      <c r="L12" s="1">
        <v>320</v>
      </c>
      <c r="M12">
        <f t="shared" si="2"/>
        <v>8.5</v>
      </c>
      <c r="N12">
        <f t="shared" si="3"/>
        <v>8.5</v>
      </c>
      <c r="O12">
        <f t="shared" si="4"/>
        <v>13.600000000000001</v>
      </c>
      <c r="P12">
        <f t="shared" si="7"/>
        <v>960</v>
      </c>
      <c r="Q12">
        <f t="shared" si="8"/>
        <v>240</v>
      </c>
    </row>
    <row r="13" spans="1:17" x14ac:dyDescent="0.35">
      <c r="A13" s="1">
        <v>12</v>
      </c>
      <c r="B13" s="1">
        <v>26</v>
      </c>
      <c r="C13" s="1">
        <v>5</v>
      </c>
      <c r="D13" s="1">
        <v>414</v>
      </c>
      <c r="E13">
        <v>40</v>
      </c>
      <c r="F13">
        <f t="shared" si="5"/>
        <v>207</v>
      </c>
      <c r="G13">
        <f t="shared" si="6"/>
        <v>207</v>
      </c>
      <c r="H13">
        <f t="shared" si="0"/>
        <v>82.800000000000011</v>
      </c>
      <c r="I13">
        <v>82.800000000000011</v>
      </c>
      <c r="J13">
        <f t="shared" si="1"/>
        <v>41.400000000000006</v>
      </c>
      <c r="K13">
        <v>32</v>
      </c>
      <c r="L13" s="1">
        <v>414</v>
      </c>
      <c r="M13">
        <f t="shared" si="2"/>
        <v>8</v>
      </c>
      <c r="N13">
        <f t="shared" si="3"/>
        <v>8</v>
      </c>
      <c r="O13">
        <f t="shared" si="4"/>
        <v>12.8</v>
      </c>
      <c r="P13">
        <f t="shared" si="7"/>
        <v>1242</v>
      </c>
      <c r="Q13">
        <f t="shared" si="8"/>
        <v>310.5</v>
      </c>
    </row>
    <row r="14" spans="1:17" x14ac:dyDescent="0.35">
      <c r="A14" s="1">
        <v>13</v>
      </c>
      <c r="B14" s="1">
        <v>27</v>
      </c>
      <c r="C14" s="1">
        <v>5</v>
      </c>
      <c r="D14" s="1">
        <v>100</v>
      </c>
      <c r="E14">
        <v>10</v>
      </c>
      <c r="F14">
        <f t="shared" si="5"/>
        <v>50</v>
      </c>
      <c r="G14">
        <f t="shared" si="6"/>
        <v>50</v>
      </c>
      <c r="H14">
        <f t="shared" si="0"/>
        <v>20</v>
      </c>
      <c r="I14">
        <v>20</v>
      </c>
      <c r="J14">
        <f t="shared" si="1"/>
        <v>10</v>
      </c>
      <c r="K14">
        <v>38</v>
      </c>
      <c r="L14" s="1">
        <v>100</v>
      </c>
      <c r="M14">
        <f t="shared" si="2"/>
        <v>9.5</v>
      </c>
      <c r="N14">
        <f t="shared" si="3"/>
        <v>9.5</v>
      </c>
      <c r="O14">
        <f t="shared" si="4"/>
        <v>15.200000000000001</v>
      </c>
      <c r="P14">
        <f t="shared" si="7"/>
        <v>300</v>
      </c>
      <c r="Q14">
        <f t="shared" si="8"/>
        <v>75</v>
      </c>
    </row>
    <row r="15" spans="1:17" x14ac:dyDescent="0.35">
      <c r="A15" s="1">
        <v>14</v>
      </c>
      <c r="B15" s="1">
        <v>31</v>
      </c>
      <c r="C15" s="1">
        <v>5</v>
      </c>
      <c r="D15" s="1">
        <v>107</v>
      </c>
      <c r="E15">
        <v>10</v>
      </c>
      <c r="F15">
        <f t="shared" si="5"/>
        <v>53.5</v>
      </c>
      <c r="G15">
        <f t="shared" si="6"/>
        <v>53.5</v>
      </c>
      <c r="H15">
        <f t="shared" si="0"/>
        <v>21.400000000000002</v>
      </c>
      <c r="I15">
        <v>21.400000000000002</v>
      </c>
      <c r="J15">
        <f t="shared" si="1"/>
        <v>10.700000000000001</v>
      </c>
      <c r="K15">
        <v>38</v>
      </c>
      <c r="L15" s="1">
        <v>107</v>
      </c>
      <c r="M15">
        <f t="shared" si="2"/>
        <v>9.5</v>
      </c>
      <c r="N15">
        <f t="shared" si="3"/>
        <v>9.5</v>
      </c>
      <c r="O15">
        <f t="shared" si="4"/>
        <v>15.200000000000001</v>
      </c>
      <c r="P15">
        <f t="shared" si="7"/>
        <v>321</v>
      </c>
      <c r="Q15">
        <f t="shared" si="8"/>
        <v>80.25</v>
      </c>
    </row>
    <row r="16" spans="1:17" x14ac:dyDescent="0.35">
      <c r="A16" s="1">
        <v>15</v>
      </c>
      <c r="B16" s="1">
        <v>32</v>
      </c>
      <c r="C16" s="1">
        <v>5</v>
      </c>
      <c r="D16" s="1">
        <v>100</v>
      </c>
      <c r="E16">
        <v>10</v>
      </c>
      <c r="F16">
        <f t="shared" si="5"/>
        <v>50</v>
      </c>
      <c r="G16">
        <f t="shared" si="6"/>
        <v>50</v>
      </c>
      <c r="H16">
        <f t="shared" si="0"/>
        <v>20</v>
      </c>
      <c r="I16">
        <v>20</v>
      </c>
      <c r="J16">
        <f t="shared" si="1"/>
        <v>10</v>
      </c>
      <c r="K16">
        <v>38</v>
      </c>
      <c r="L16" s="1">
        <v>100</v>
      </c>
      <c r="M16">
        <f t="shared" si="2"/>
        <v>9.5</v>
      </c>
      <c r="N16">
        <f t="shared" si="3"/>
        <v>9.5</v>
      </c>
      <c r="O16">
        <f t="shared" si="4"/>
        <v>15.200000000000001</v>
      </c>
      <c r="P16">
        <f t="shared" si="7"/>
        <v>300</v>
      </c>
      <c r="Q16">
        <f t="shared" si="8"/>
        <v>75</v>
      </c>
    </row>
    <row r="17" spans="1:17" x14ac:dyDescent="0.35">
      <c r="A17" s="1">
        <v>16</v>
      </c>
      <c r="B17" s="1">
        <v>34</v>
      </c>
      <c r="C17" s="1">
        <v>5</v>
      </c>
      <c r="D17" s="1">
        <v>100</v>
      </c>
      <c r="E17">
        <v>10</v>
      </c>
      <c r="F17">
        <f t="shared" si="5"/>
        <v>50</v>
      </c>
      <c r="G17">
        <f t="shared" si="6"/>
        <v>50</v>
      </c>
      <c r="H17">
        <f t="shared" si="0"/>
        <v>20</v>
      </c>
      <c r="I17">
        <v>20</v>
      </c>
      <c r="J17">
        <f t="shared" si="1"/>
        <v>10</v>
      </c>
      <c r="K17">
        <v>38</v>
      </c>
      <c r="L17" s="1">
        <v>100</v>
      </c>
      <c r="M17">
        <f t="shared" si="2"/>
        <v>9.5</v>
      </c>
      <c r="N17">
        <f t="shared" si="3"/>
        <v>9.5</v>
      </c>
      <c r="O17">
        <f t="shared" si="4"/>
        <v>15.200000000000001</v>
      </c>
      <c r="P17">
        <f t="shared" si="7"/>
        <v>300</v>
      </c>
      <c r="Q17">
        <f t="shared" si="8"/>
        <v>75</v>
      </c>
    </row>
    <row r="18" spans="1:17" x14ac:dyDescent="0.35">
      <c r="A18" s="1">
        <v>17</v>
      </c>
      <c r="B18" s="1">
        <v>36</v>
      </c>
      <c r="C18" s="1">
        <v>5</v>
      </c>
      <c r="D18" s="1">
        <v>100</v>
      </c>
      <c r="E18">
        <v>10</v>
      </c>
      <c r="F18">
        <f t="shared" si="5"/>
        <v>50</v>
      </c>
      <c r="G18">
        <f t="shared" si="6"/>
        <v>50</v>
      </c>
      <c r="H18">
        <f t="shared" si="0"/>
        <v>20</v>
      </c>
      <c r="I18">
        <v>20</v>
      </c>
      <c r="J18">
        <f t="shared" si="1"/>
        <v>10</v>
      </c>
      <c r="K18">
        <v>38</v>
      </c>
      <c r="L18" s="1">
        <v>100</v>
      </c>
      <c r="M18">
        <f t="shared" si="2"/>
        <v>9.5</v>
      </c>
      <c r="N18">
        <f t="shared" si="3"/>
        <v>9.5</v>
      </c>
      <c r="O18">
        <f t="shared" si="4"/>
        <v>15.200000000000001</v>
      </c>
      <c r="P18">
        <f t="shared" si="7"/>
        <v>300</v>
      </c>
      <c r="Q18">
        <f t="shared" si="8"/>
        <v>75</v>
      </c>
    </row>
    <row r="19" spans="1:17" x14ac:dyDescent="0.35">
      <c r="A19" s="1">
        <v>18</v>
      </c>
      <c r="B19" s="1">
        <v>40</v>
      </c>
      <c r="C19" s="1">
        <v>5</v>
      </c>
      <c r="D19" s="1">
        <v>100</v>
      </c>
      <c r="E19">
        <v>10</v>
      </c>
      <c r="F19">
        <f t="shared" si="5"/>
        <v>50</v>
      </c>
      <c r="G19">
        <f t="shared" si="6"/>
        <v>50</v>
      </c>
      <c r="H19">
        <f t="shared" si="0"/>
        <v>20</v>
      </c>
      <c r="I19">
        <v>20</v>
      </c>
      <c r="J19">
        <f t="shared" si="1"/>
        <v>10</v>
      </c>
      <c r="K19">
        <v>38</v>
      </c>
      <c r="L19" s="1">
        <v>100</v>
      </c>
      <c r="M19">
        <f t="shared" si="2"/>
        <v>9.5</v>
      </c>
      <c r="N19">
        <f t="shared" si="3"/>
        <v>9.5</v>
      </c>
      <c r="O19">
        <f t="shared" si="4"/>
        <v>15.200000000000001</v>
      </c>
      <c r="P19">
        <f t="shared" si="7"/>
        <v>300</v>
      </c>
      <c r="Q19">
        <f t="shared" si="8"/>
        <v>75</v>
      </c>
    </row>
    <row r="20" spans="1:17" x14ac:dyDescent="0.35">
      <c r="A20" s="1">
        <v>19</v>
      </c>
      <c r="B20" s="1">
        <v>42</v>
      </c>
      <c r="C20" s="1">
        <v>5</v>
      </c>
      <c r="D20" s="1">
        <v>100</v>
      </c>
      <c r="E20">
        <v>10</v>
      </c>
      <c r="F20">
        <f t="shared" si="5"/>
        <v>50</v>
      </c>
      <c r="G20">
        <f t="shared" si="6"/>
        <v>50</v>
      </c>
      <c r="H20">
        <f t="shared" si="0"/>
        <v>20</v>
      </c>
      <c r="I20">
        <v>20</v>
      </c>
      <c r="J20">
        <f t="shared" si="1"/>
        <v>10</v>
      </c>
      <c r="K20">
        <v>38</v>
      </c>
      <c r="L20" s="1">
        <v>100</v>
      </c>
      <c r="M20">
        <f t="shared" si="2"/>
        <v>9.5</v>
      </c>
      <c r="N20">
        <f t="shared" si="3"/>
        <v>9.5</v>
      </c>
      <c r="O20">
        <f t="shared" si="4"/>
        <v>15.200000000000001</v>
      </c>
      <c r="P20">
        <f t="shared" si="7"/>
        <v>300</v>
      </c>
      <c r="Q20">
        <f t="shared" si="8"/>
        <v>75</v>
      </c>
    </row>
    <row r="21" spans="1:17" x14ac:dyDescent="0.35">
      <c r="A21" s="1">
        <v>20</v>
      </c>
      <c r="B21" s="1">
        <v>46</v>
      </c>
      <c r="C21" s="1">
        <v>5</v>
      </c>
      <c r="D21" s="1">
        <v>119</v>
      </c>
      <c r="E21">
        <v>10</v>
      </c>
      <c r="F21">
        <f t="shared" si="5"/>
        <v>59.5</v>
      </c>
      <c r="G21">
        <f t="shared" si="6"/>
        <v>59.5</v>
      </c>
      <c r="H21">
        <f t="shared" si="0"/>
        <v>23.8</v>
      </c>
      <c r="I21">
        <v>23.8</v>
      </c>
      <c r="J21">
        <f t="shared" si="1"/>
        <v>11.9</v>
      </c>
      <c r="K21">
        <v>38</v>
      </c>
      <c r="L21" s="1">
        <v>119</v>
      </c>
      <c r="M21">
        <f t="shared" si="2"/>
        <v>9.5</v>
      </c>
      <c r="N21">
        <f t="shared" si="3"/>
        <v>9.5</v>
      </c>
      <c r="O21">
        <f t="shared" si="4"/>
        <v>15.200000000000001</v>
      </c>
      <c r="P21">
        <f t="shared" si="7"/>
        <v>357</v>
      </c>
      <c r="Q21">
        <f t="shared" si="8"/>
        <v>89.25</v>
      </c>
    </row>
    <row r="22" spans="1:17" x14ac:dyDescent="0.35">
      <c r="A22" s="1">
        <v>21</v>
      </c>
      <c r="B22" s="1">
        <v>49</v>
      </c>
      <c r="C22" s="1">
        <v>5</v>
      </c>
      <c r="D22" s="1">
        <v>304</v>
      </c>
      <c r="E22">
        <v>30</v>
      </c>
      <c r="F22">
        <f t="shared" si="5"/>
        <v>152</v>
      </c>
      <c r="G22">
        <f t="shared" si="6"/>
        <v>152</v>
      </c>
      <c r="H22">
        <f t="shared" si="0"/>
        <v>60.800000000000004</v>
      </c>
      <c r="I22">
        <v>60.800000000000004</v>
      </c>
      <c r="J22">
        <f t="shared" si="1"/>
        <v>30.400000000000002</v>
      </c>
      <c r="K22">
        <v>34</v>
      </c>
      <c r="L22" s="1">
        <v>304</v>
      </c>
      <c r="M22">
        <f t="shared" si="2"/>
        <v>8.5</v>
      </c>
      <c r="N22">
        <f t="shared" si="3"/>
        <v>8.5</v>
      </c>
      <c r="O22">
        <f t="shared" si="4"/>
        <v>13.600000000000001</v>
      </c>
      <c r="P22">
        <f t="shared" si="7"/>
        <v>912</v>
      </c>
      <c r="Q22">
        <f t="shared" si="8"/>
        <v>228</v>
      </c>
    </row>
    <row r="23" spans="1:17" x14ac:dyDescent="0.35">
      <c r="A23" s="1">
        <v>22</v>
      </c>
      <c r="B23" s="1">
        <v>54</v>
      </c>
      <c r="C23" s="1">
        <v>5</v>
      </c>
      <c r="D23" s="1">
        <v>148</v>
      </c>
      <c r="E23">
        <v>15</v>
      </c>
      <c r="F23">
        <f t="shared" si="5"/>
        <v>74</v>
      </c>
      <c r="G23">
        <f t="shared" si="6"/>
        <v>74</v>
      </c>
      <c r="H23">
        <f t="shared" si="0"/>
        <v>29.6</v>
      </c>
      <c r="I23">
        <v>29.6</v>
      </c>
      <c r="J23">
        <f t="shared" si="1"/>
        <v>14.8</v>
      </c>
      <c r="K23">
        <v>37</v>
      </c>
      <c r="L23" s="1">
        <v>148</v>
      </c>
      <c r="M23">
        <f t="shared" si="2"/>
        <v>9.25</v>
      </c>
      <c r="N23">
        <f t="shared" si="3"/>
        <v>9.25</v>
      </c>
      <c r="O23">
        <f t="shared" si="4"/>
        <v>14.8</v>
      </c>
      <c r="P23">
        <f t="shared" si="7"/>
        <v>444</v>
      </c>
      <c r="Q23">
        <f t="shared" si="8"/>
        <v>111</v>
      </c>
    </row>
    <row r="24" spans="1:17" x14ac:dyDescent="0.35">
      <c r="A24" s="1">
        <v>23</v>
      </c>
      <c r="B24" s="1">
        <v>55</v>
      </c>
      <c r="C24" s="1">
        <v>5</v>
      </c>
      <c r="D24" s="1">
        <v>100</v>
      </c>
      <c r="E24">
        <v>10</v>
      </c>
      <c r="F24">
        <f t="shared" si="5"/>
        <v>50</v>
      </c>
      <c r="G24">
        <f t="shared" si="6"/>
        <v>50</v>
      </c>
      <c r="H24">
        <f t="shared" si="0"/>
        <v>20</v>
      </c>
      <c r="I24">
        <v>20</v>
      </c>
      <c r="J24">
        <f t="shared" si="1"/>
        <v>10</v>
      </c>
      <c r="K24">
        <v>38</v>
      </c>
      <c r="L24" s="1">
        <v>100</v>
      </c>
      <c r="M24">
        <f t="shared" si="2"/>
        <v>9.5</v>
      </c>
      <c r="N24">
        <f t="shared" si="3"/>
        <v>9.5</v>
      </c>
      <c r="O24">
        <f t="shared" si="4"/>
        <v>15.200000000000001</v>
      </c>
      <c r="P24">
        <f t="shared" si="7"/>
        <v>300</v>
      </c>
      <c r="Q24">
        <f t="shared" si="8"/>
        <v>75</v>
      </c>
    </row>
    <row r="25" spans="1:17" x14ac:dyDescent="0.35">
      <c r="A25" s="1">
        <v>24</v>
      </c>
      <c r="B25" s="1">
        <v>56</v>
      </c>
      <c r="C25" s="1">
        <v>5</v>
      </c>
      <c r="D25" s="1">
        <v>100</v>
      </c>
      <c r="E25">
        <v>10</v>
      </c>
      <c r="F25">
        <f t="shared" si="5"/>
        <v>50</v>
      </c>
      <c r="G25">
        <f t="shared" si="6"/>
        <v>50</v>
      </c>
      <c r="H25">
        <f t="shared" si="0"/>
        <v>20</v>
      </c>
      <c r="I25">
        <v>20</v>
      </c>
      <c r="J25">
        <f t="shared" si="1"/>
        <v>10</v>
      </c>
      <c r="K25">
        <v>38</v>
      </c>
      <c r="L25" s="1">
        <v>100</v>
      </c>
      <c r="M25">
        <f t="shared" si="2"/>
        <v>9.5</v>
      </c>
      <c r="N25">
        <f t="shared" si="3"/>
        <v>9.5</v>
      </c>
      <c r="O25">
        <f t="shared" si="4"/>
        <v>15.200000000000001</v>
      </c>
      <c r="P25">
        <f t="shared" si="7"/>
        <v>300</v>
      </c>
      <c r="Q25">
        <f t="shared" si="8"/>
        <v>75</v>
      </c>
    </row>
    <row r="26" spans="1:17" x14ac:dyDescent="0.35">
      <c r="A26" s="1">
        <v>25</v>
      </c>
      <c r="B26" s="1">
        <v>59</v>
      </c>
      <c r="C26" s="1">
        <v>5</v>
      </c>
      <c r="D26" s="1">
        <v>255</v>
      </c>
      <c r="E26">
        <v>25</v>
      </c>
      <c r="F26">
        <f t="shared" si="5"/>
        <v>127.5</v>
      </c>
      <c r="G26">
        <f t="shared" si="6"/>
        <v>127.5</v>
      </c>
      <c r="H26">
        <f t="shared" si="0"/>
        <v>51</v>
      </c>
      <c r="I26">
        <v>51</v>
      </c>
      <c r="J26">
        <f t="shared" si="1"/>
        <v>25.5</v>
      </c>
      <c r="K26">
        <v>35</v>
      </c>
      <c r="L26" s="1">
        <v>255</v>
      </c>
      <c r="M26">
        <f t="shared" si="2"/>
        <v>8.75</v>
      </c>
      <c r="N26">
        <f t="shared" si="3"/>
        <v>8.75</v>
      </c>
      <c r="O26">
        <f t="shared" si="4"/>
        <v>14</v>
      </c>
      <c r="P26">
        <f t="shared" si="7"/>
        <v>765</v>
      </c>
      <c r="Q26">
        <f t="shared" si="8"/>
        <v>191.25</v>
      </c>
    </row>
    <row r="27" spans="1:17" x14ac:dyDescent="0.35">
      <c r="A27" s="1">
        <v>26</v>
      </c>
      <c r="B27" s="1">
        <v>61</v>
      </c>
      <c r="C27" s="1">
        <v>5</v>
      </c>
      <c r="D27" s="1">
        <v>260</v>
      </c>
      <c r="E27">
        <v>25</v>
      </c>
      <c r="F27">
        <f t="shared" si="5"/>
        <v>130</v>
      </c>
      <c r="G27">
        <f t="shared" si="6"/>
        <v>130</v>
      </c>
      <c r="H27">
        <f t="shared" si="0"/>
        <v>52</v>
      </c>
      <c r="I27">
        <v>52</v>
      </c>
      <c r="J27">
        <f t="shared" si="1"/>
        <v>26</v>
      </c>
      <c r="K27">
        <v>35</v>
      </c>
      <c r="L27" s="1">
        <v>260</v>
      </c>
      <c r="M27">
        <f t="shared" si="2"/>
        <v>8.75</v>
      </c>
      <c r="N27">
        <f t="shared" si="3"/>
        <v>8.75</v>
      </c>
      <c r="O27">
        <f t="shared" si="4"/>
        <v>14</v>
      </c>
      <c r="P27">
        <f t="shared" si="7"/>
        <v>780</v>
      </c>
      <c r="Q27">
        <f t="shared" si="8"/>
        <v>195</v>
      </c>
    </row>
    <row r="28" spans="1:17" x14ac:dyDescent="0.35">
      <c r="A28" s="1">
        <v>27</v>
      </c>
      <c r="B28" s="1">
        <v>62</v>
      </c>
      <c r="C28" s="1">
        <v>5</v>
      </c>
      <c r="D28" s="1">
        <v>100</v>
      </c>
      <c r="E28">
        <v>10</v>
      </c>
      <c r="F28">
        <f t="shared" si="5"/>
        <v>50</v>
      </c>
      <c r="G28">
        <f t="shared" si="6"/>
        <v>50</v>
      </c>
      <c r="H28">
        <f t="shared" si="0"/>
        <v>20</v>
      </c>
      <c r="I28">
        <v>20</v>
      </c>
      <c r="J28">
        <f t="shared" si="1"/>
        <v>10</v>
      </c>
      <c r="K28">
        <v>38</v>
      </c>
      <c r="L28" s="1">
        <v>100</v>
      </c>
      <c r="M28">
        <f t="shared" si="2"/>
        <v>9.5</v>
      </c>
      <c r="N28">
        <f t="shared" si="3"/>
        <v>9.5</v>
      </c>
      <c r="O28">
        <f t="shared" si="4"/>
        <v>15.200000000000001</v>
      </c>
      <c r="P28">
        <f t="shared" si="7"/>
        <v>300</v>
      </c>
      <c r="Q28">
        <f t="shared" si="8"/>
        <v>75</v>
      </c>
    </row>
    <row r="29" spans="1:17" x14ac:dyDescent="0.35">
      <c r="A29" s="1">
        <v>28</v>
      </c>
      <c r="B29" s="1">
        <v>65</v>
      </c>
      <c r="C29" s="1">
        <v>5</v>
      </c>
      <c r="D29" s="1">
        <v>491</v>
      </c>
      <c r="E29">
        <v>50</v>
      </c>
      <c r="F29">
        <f t="shared" si="5"/>
        <v>245.5</v>
      </c>
      <c r="G29">
        <f t="shared" si="6"/>
        <v>245.5</v>
      </c>
      <c r="H29">
        <f t="shared" si="0"/>
        <v>98.2</v>
      </c>
      <c r="I29">
        <v>98.2</v>
      </c>
      <c r="J29">
        <f t="shared" si="1"/>
        <v>49.1</v>
      </c>
      <c r="K29">
        <v>30</v>
      </c>
      <c r="L29" s="1">
        <v>491</v>
      </c>
      <c r="M29">
        <f t="shared" si="2"/>
        <v>7.5</v>
      </c>
      <c r="N29">
        <f t="shared" si="3"/>
        <v>7.5</v>
      </c>
      <c r="O29">
        <f t="shared" si="4"/>
        <v>12</v>
      </c>
      <c r="P29">
        <f t="shared" si="7"/>
        <v>1473</v>
      </c>
      <c r="Q29">
        <f t="shared" si="8"/>
        <v>368.25</v>
      </c>
    </row>
    <row r="30" spans="1:17" x14ac:dyDescent="0.35">
      <c r="A30" s="1">
        <v>29</v>
      </c>
      <c r="B30" s="1">
        <v>66</v>
      </c>
      <c r="C30" s="1">
        <v>5</v>
      </c>
      <c r="D30" s="1">
        <v>492</v>
      </c>
      <c r="E30">
        <v>50</v>
      </c>
      <c r="F30">
        <f t="shared" si="5"/>
        <v>246</v>
      </c>
      <c r="G30">
        <f t="shared" si="6"/>
        <v>246</v>
      </c>
      <c r="H30">
        <f t="shared" si="0"/>
        <v>98.4</v>
      </c>
      <c r="I30">
        <v>98.4</v>
      </c>
      <c r="J30">
        <f t="shared" si="1"/>
        <v>49.2</v>
      </c>
      <c r="K30">
        <v>30</v>
      </c>
      <c r="L30" s="1">
        <v>492</v>
      </c>
      <c r="M30">
        <f t="shared" si="2"/>
        <v>7.5</v>
      </c>
      <c r="N30">
        <f t="shared" si="3"/>
        <v>7.5</v>
      </c>
      <c r="O30">
        <f t="shared" si="4"/>
        <v>12</v>
      </c>
      <c r="P30">
        <f t="shared" si="7"/>
        <v>1476</v>
      </c>
      <c r="Q30">
        <f t="shared" si="8"/>
        <v>369</v>
      </c>
    </row>
    <row r="31" spans="1:17" x14ac:dyDescent="0.35">
      <c r="A31" s="1">
        <v>30</v>
      </c>
      <c r="B31" s="1">
        <v>69</v>
      </c>
      <c r="C31" s="1">
        <v>5</v>
      </c>
      <c r="D31" s="1">
        <v>805.2</v>
      </c>
      <c r="E31">
        <v>80</v>
      </c>
      <c r="F31">
        <f t="shared" si="5"/>
        <v>402.6</v>
      </c>
      <c r="G31">
        <f t="shared" si="6"/>
        <v>402.6</v>
      </c>
      <c r="H31">
        <f t="shared" si="0"/>
        <v>161.04000000000002</v>
      </c>
      <c r="I31">
        <v>161.04000000000002</v>
      </c>
      <c r="J31">
        <f t="shared" si="1"/>
        <v>80.52000000000001</v>
      </c>
      <c r="K31">
        <v>25</v>
      </c>
      <c r="L31" s="1">
        <v>805.2</v>
      </c>
      <c r="M31">
        <f t="shared" si="2"/>
        <v>6.25</v>
      </c>
      <c r="N31">
        <f t="shared" si="3"/>
        <v>6.25</v>
      </c>
      <c r="O31">
        <f t="shared" si="4"/>
        <v>10</v>
      </c>
      <c r="P31">
        <f t="shared" si="7"/>
        <v>2415.6000000000004</v>
      </c>
      <c r="Q31">
        <f t="shared" si="8"/>
        <v>603.90000000000009</v>
      </c>
    </row>
    <row r="32" spans="1:17" x14ac:dyDescent="0.35">
      <c r="A32" s="1">
        <v>31</v>
      </c>
      <c r="B32" s="1">
        <v>70</v>
      </c>
      <c r="C32" s="1">
        <v>5</v>
      </c>
      <c r="D32" s="1">
        <v>100</v>
      </c>
      <c r="E32">
        <v>10</v>
      </c>
      <c r="F32">
        <f t="shared" si="5"/>
        <v>50</v>
      </c>
      <c r="G32">
        <f t="shared" si="6"/>
        <v>50</v>
      </c>
      <c r="H32">
        <f t="shared" si="0"/>
        <v>20</v>
      </c>
      <c r="I32">
        <v>20</v>
      </c>
      <c r="J32">
        <f t="shared" si="1"/>
        <v>10</v>
      </c>
      <c r="K32">
        <v>38</v>
      </c>
      <c r="L32" s="1">
        <v>100</v>
      </c>
      <c r="M32">
        <f t="shared" si="2"/>
        <v>9.5</v>
      </c>
      <c r="N32">
        <f t="shared" si="3"/>
        <v>9.5</v>
      </c>
      <c r="O32">
        <f t="shared" si="4"/>
        <v>15.200000000000001</v>
      </c>
      <c r="P32">
        <f t="shared" si="7"/>
        <v>300</v>
      </c>
      <c r="Q32">
        <f t="shared" si="8"/>
        <v>75</v>
      </c>
    </row>
    <row r="33" spans="1:17" x14ac:dyDescent="0.35">
      <c r="A33" s="1">
        <v>32</v>
      </c>
      <c r="B33" s="1">
        <v>72</v>
      </c>
      <c r="C33" s="1">
        <v>5</v>
      </c>
      <c r="D33" s="1">
        <v>100</v>
      </c>
      <c r="E33">
        <v>10</v>
      </c>
      <c r="F33">
        <f t="shared" si="5"/>
        <v>50</v>
      </c>
      <c r="G33">
        <f t="shared" si="6"/>
        <v>50</v>
      </c>
      <c r="H33">
        <f t="shared" si="0"/>
        <v>20</v>
      </c>
      <c r="I33">
        <v>20</v>
      </c>
      <c r="J33">
        <f t="shared" si="1"/>
        <v>10</v>
      </c>
      <c r="K33">
        <v>38</v>
      </c>
      <c r="L33" s="1">
        <v>100</v>
      </c>
      <c r="M33">
        <f t="shared" si="2"/>
        <v>9.5</v>
      </c>
      <c r="N33">
        <f t="shared" si="3"/>
        <v>9.5</v>
      </c>
      <c r="O33">
        <f t="shared" si="4"/>
        <v>15.200000000000001</v>
      </c>
      <c r="P33">
        <f t="shared" si="7"/>
        <v>300</v>
      </c>
      <c r="Q33">
        <f t="shared" si="8"/>
        <v>75</v>
      </c>
    </row>
    <row r="34" spans="1:17" x14ac:dyDescent="0.35">
      <c r="A34" s="1">
        <v>33</v>
      </c>
      <c r="B34" s="1">
        <v>73</v>
      </c>
      <c r="C34" s="1">
        <v>5</v>
      </c>
      <c r="D34" s="1">
        <v>100</v>
      </c>
      <c r="E34">
        <v>10</v>
      </c>
      <c r="F34">
        <f t="shared" si="5"/>
        <v>50</v>
      </c>
      <c r="G34">
        <f t="shared" si="6"/>
        <v>50</v>
      </c>
      <c r="H34">
        <f t="shared" si="0"/>
        <v>20</v>
      </c>
      <c r="I34">
        <v>20</v>
      </c>
      <c r="J34">
        <f t="shared" si="1"/>
        <v>10</v>
      </c>
      <c r="K34">
        <v>38</v>
      </c>
      <c r="L34" s="1">
        <v>100</v>
      </c>
      <c r="M34">
        <f t="shared" si="2"/>
        <v>9.5</v>
      </c>
      <c r="N34">
        <f t="shared" si="3"/>
        <v>9.5</v>
      </c>
      <c r="O34">
        <f t="shared" si="4"/>
        <v>15.200000000000001</v>
      </c>
      <c r="P34">
        <f t="shared" si="7"/>
        <v>300</v>
      </c>
      <c r="Q34">
        <f t="shared" si="8"/>
        <v>75</v>
      </c>
    </row>
    <row r="35" spans="1:17" x14ac:dyDescent="0.35">
      <c r="A35" s="1">
        <v>34</v>
      </c>
      <c r="B35" s="1">
        <v>74</v>
      </c>
      <c r="C35" s="1">
        <v>5</v>
      </c>
      <c r="D35" s="1">
        <v>100</v>
      </c>
      <c r="E35">
        <v>10</v>
      </c>
      <c r="F35">
        <f t="shared" si="5"/>
        <v>50</v>
      </c>
      <c r="G35">
        <f t="shared" si="6"/>
        <v>50</v>
      </c>
      <c r="H35">
        <f t="shared" si="0"/>
        <v>20</v>
      </c>
      <c r="I35">
        <v>20</v>
      </c>
      <c r="J35">
        <f t="shared" si="1"/>
        <v>10</v>
      </c>
      <c r="K35">
        <v>38</v>
      </c>
      <c r="L35" s="1">
        <v>100</v>
      </c>
      <c r="M35">
        <f t="shared" si="2"/>
        <v>9.5</v>
      </c>
      <c r="N35">
        <f t="shared" si="3"/>
        <v>9.5</v>
      </c>
      <c r="O35">
        <f t="shared" si="4"/>
        <v>15.200000000000001</v>
      </c>
      <c r="P35">
        <f t="shared" si="7"/>
        <v>300</v>
      </c>
      <c r="Q35">
        <f t="shared" si="8"/>
        <v>75</v>
      </c>
    </row>
    <row r="36" spans="1:17" x14ac:dyDescent="0.35">
      <c r="A36" s="1">
        <v>35</v>
      </c>
      <c r="B36" s="1">
        <v>76</v>
      </c>
      <c r="C36" s="1">
        <v>5</v>
      </c>
      <c r="D36" s="1">
        <v>100</v>
      </c>
      <c r="E36">
        <v>10</v>
      </c>
      <c r="F36">
        <f t="shared" si="5"/>
        <v>50</v>
      </c>
      <c r="G36">
        <f t="shared" si="6"/>
        <v>50</v>
      </c>
      <c r="H36">
        <f t="shared" si="0"/>
        <v>20</v>
      </c>
      <c r="I36">
        <v>20</v>
      </c>
      <c r="J36">
        <f t="shared" si="1"/>
        <v>10</v>
      </c>
      <c r="K36">
        <v>38</v>
      </c>
      <c r="L36" s="1">
        <v>100</v>
      </c>
      <c r="M36">
        <f t="shared" si="2"/>
        <v>9.5</v>
      </c>
      <c r="N36">
        <f t="shared" si="3"/>
        <v>9.5</v>
      </c>
      <c r="O36">
        <f t="shared" si="4"/>
        <v>15.200000000000001</v>
      </c>
      <c r="P36">
        <f t="shared" si="7"/>
        <v>300</v>
      </c>
      <c r="Q36">
        <f t="shared" si="8"/>
        <v>75</v>
      </c>
    </row>
    <row r="37" spans="1:17" x14ac:dyDescent="0.35">
      <c r="A37" s="1">
        <v>36</v>
      </c>
      <c r="B37" s="1">
        <v>77</v>
      </c>
      <c r="C37" s="1">
        <v>5</v>
      </c>
      <c r="D37" s="1">
        <v>100</v>
      </c>
      <c r="E37">
        <v>10</v>
      </c>
      <c r="F37">
        <f t="shared" si="5"/>
        <v>50</v>
      </c>
      <c r="G37">
        <f t="shared" si="6"/>
        <v>50</v>
      </c>
      <c r="H37">
        <f t="shared" si="0"/>
        <v>20</v>
      </c>
      <c r="I37">
        <v>20</v>
      </c>
      <c r="J37">
        <f t="shared" si="1"/>
        <v>10</v>
      </c>
      <c r="K37">
        <v>38</v>
      </c>
      <c r="L37" s="1">
        <v>100</v>
      </c>
      <c r="M37">
        <f t="shared" si="2"/>
        <v>9.5</v>
      </c>
      <c r="N37">
        <f t="shared" si="3"/>
        <v>9.5</v>
      </c>
      <c r="O37">
        <f t="shared" si="4"/>
        <v>15.200000000000001</v>
      </c>
      <c r="P37">
        <f t="shared" si="7"/>
        <v>300</v>
      </c>
      <c r="Q37">
        <f t="shared" si="8"/>
        <v>75</v>
      </c>
    </row>
    <row r="38" spans="1:17" x14ac:dyDescent="0.35">
      <c r="A38" s="1">
        <v>37</v>
      </c>
      <c r="B38" s="1">
        <v>80</v>
      </c>
      <c r="C38" s="1">
        <v>5</v>
      </c>
      <c r="D38" s="1">
        <v>577</v>
      </c>
      <c r="E38">
        <v>60</v>
      </c>
      <c r="F38">
        <f t="shared" si="5"/>
        <v>288.5</v>
      </c>
      <c r="G38">
        <f t="shared" si="6"/>
        <v>288.5</v>
      </c>
      <c r="H38">
        <f t="shared" si="0"/>
        <v>115.4</v>
      </c>
      <c r="I38">
        <v>115.4</v>
      </c>
      <c r="J38">
        <f t="shared" si="1"/>
        <v>57.7</v>
      </c>
      <c r="K38">
        <v>28</v>
      </c>
      <c r="L38" s="1">
        <v>577</v>
      </c>
      <c r="M38">
        <f t="shared" si="2"/>
        <v>7</v>
      </c>
      <c r="N38">
        <f t="shared" si="3"/>
        <v>7</v>
      </c>
      <c r="O38">
        <f t="shared" si="4"/>
        <v>11.200000000000001</v>
      </c>
      <c r="P38">
        <f t="shared" si="7"/>
        <v>1731</v>
      </c>
      <c r="Q38">
        <f t="shared" si="8"/>
        <v>432.75</v>
      </c>
    </row>
    <row r="39" spans="1:17" x14ac:dyDescent="0.35">
      <c r="A39" s="1">
        <v>38</v>
      </c>
      <c r="B39" s="1">
        <v>85</v>
      </c>
      <c r="C39" s="1">
        <v>5</v>
      </c>
      <c r="D39" s="1">
        <v>100</v>
      </c>
      <c r="E39">
        <v>10</v>
      </c>
      <c r="F39">
        <f t="shared" si="5"/>
        <v>50</v>
      </c>
      <c r="G39">
        <f t="shared" si="6"/>
        <v>50</v>
      </c>
      <c r="H39">
        <f t="shared" si="0"/>
        <v>20</v>
      </c>
      <c r="I39">
        <v>20</v>
      </c>
      <c r="J39">
        <f t="shared" si="1"/>
        <v>10</v>
      </c>
      <c r="K39">
        <v>38</v>
      </c>
      <c r="L39" s="1">
        <v>100</v>
      </c>
      <c r="M39">
        <f t="shared" si="2"/>
        <v>9.5</v>
      </c>
      <c r="N39">
        <f t="shared" si="3"/>
        <v>9.5</v>
      </c>
      <c r="O39">
        <f t="shared" si="4"/>
        <v>15.200000000000001</v>
      </c>
      <c r="P39">
        <f t="shared" si="7"/>
        <v>300</v>
      </c>
      <c r="Q39">
        <f t="shared" si="8"/>
        <v>75</v>
      </c>
    </row>
    <row r="40" spans="1:17" x14ac:dyDescent="0.35">
      <c r="A40" s="1">
        <v>39</v>
      </c>
      <c r="B40" s="1">
        <v>87</v>
      </c>
      <c r="C40" s="1">
        <v>5</v>
      </c>
      <c r="D40" s="1">
        <v>104</v>
      </c>
      <c r="E40">
        <v>10</v>
      </c>
      <c r="F40">
        <f t="shared" si="5"/>
        <v>52</v>
      </c>
      <c r="G40">
        <f t="shared" si="6"/>
        <v>52</v>
      </c>
      <c r="H40">
        <f t="shared" si="0"/>
        <v>20.8</v>
      </c>
      <c r="I40">
        <v>20.8</v>
      </c>
      <c r="J40">
        <f t="shared" si="1"/>
        <v>10.4</v>
      </c>
      <c r="K40">
        <v>38</v>
      </c>
      <c r="L40" s="1">
        <v>104</v>
      </c>
      <c r="M40">
        <f t="shared" si="2"/>
        <v>9.5</v>
      </c>
      <c r="N40">
        <f t="shared" si="3"/>
        <v>9.5</v>
      </c>
      <c r="O40">
        <f t="shared" si="4"/>
        <v>15.200000000000001</v>
      </c>
      <c r="P40">
        <f t="shared" si="7"/>
        <v>312</v>
      </c>
      <c r="Q40">
        <f t="shared" si="8"/>
        <v>78</v>
      </c>
    </row>
    <row r="41" spans="1:17" x14ac:dyDescent="0.35">
      <c r="A41" s="1">
        <v>40</v>
      </c>
      <c r="B41" s="1">
        <v>89</v>
      </c>
      <c r="C41" s="1">
        <v>5</v>
      </c>
      <c r="D41" s="1">
        <v>707</v>
      </c>
      <c r="E41">
        <v>70</v>
      </c>
      <c r="F41">
        <f t="shared" si="5"/>
        <v>353.5</v>
      </c>
      <c r="G41">
        <f t="shared" si="6"/>
        <v>353.5</v>
      </c>
      <c r="H41">
        <f t="shared" si="0"/>
        <v>141.4</v>
      </c>
      <c r="I41">
        <v>141.4</v>
      </c>
      <c r="J41">
        <f t="shared" si="1"/>
        <v>70.7</v>
      </c>
      <c r="K41">
        <v>26</v>
      </c>
      <c r="L41" s="1">
        <v>707</v>
      </c>
      <c r="M41">
        <f t="shared" si="2"/>
        <v>6.5</v>
      </c>
      <c r="N41">
        <f t="shared" si="3"/>
        <v>6.5</v>
      </c>
      <c r="O41">
        <f t="shared" si="4"/>
        <v>10.4</v>
      </c>
      <c r="P41">
        <f t="shared" si="7"/>
        <v>2121</v>
      </c>
      <c r="Q41">
        <f t="shared" si="8"/>
        <v>530.25</v>
      </c>
    </row>
    <row r="42" spans="1:17" x14ac:dyDescent="0.35">
      <c r="A42" s="1">
        <v>41</v>
      </c>
      <c r="B42" s="1">
        <v>90</v>
      </c>
      <c r="C42" s="1">
        <v>5</v>
      </c>
      <c r="D42" s="1">
        <v>100</v>
      </c>
      <c r="E42">
        <v>10</v>
      </c>
      <c r="F42">
        <f t="shared" si="5"/>
        <v>50</v>
      </c>
      <c r="G42">
        <f t="shared" si="6"/>
        <v>50</v>
      </c>
      <c r="H42">
        <f t="shared" si="0"/>
        <v>20</v>
      </c>
      <c r="I42">
        <v>20</v>
      </c>
      <c r="J42">
        <f t="shared" si="1"/>
        <v>10</v>
      </c>
      <c r="K42">
        <v>38</v>
      </c>
      <c r="L42" s="1">
        <v>100</v>
      </c>
      <c r="M42">
        <f t="shared" si="2"/>
        <v>9.5</v>
      </c>
      <c r="N42">
        <f t="shared" si="3"/>
        <v>9.5</v>
      </c>
      <c r="O42">
        <f t="shared" si="4"/>
        <v>15.200000000000001</v>
      </c>
      <c r="P42">
        <f t="shared" si="7"/>
        <v>300</v>
      </c>
      <c r="Q42">
        <f t="shared" si="8"/>
        <v>75</v>
      </c>
    </row>
    <row r="43" spans="1:17" x14ac:dyDescent="0.35">
      <c r="A43" s="1">
        <v>42</v>
      </c>
      <c r="B43" s="1">
        <v>91</v>
      </c>
      <c r="C43" s="1">
        <v>5</v>
      </c>
      <c r="D43" s="1">
        <v>100</v>
      </c>
      <c r="E43">
        <v>10</v>
      </c>
      <c r="F43">
        <f t="shared" si="5"/>
        <v>50</v>
      </c>
      <c r="G43">
        <f t="shared" si="6"/>
        <v>50</v>
      </c>
      <c r="H43">
        <f t="shared" si="0"/>
        <v>20</v>
      </c>
      <c r="I43">
        <v>20</v>
      </c>
      <c r="J43">
        <f t="shared" si="1"/>
        <v>10</v>
      </c>
      <c r="K43">
        <v>38</v>
      </c>
      <c r="L43" s="1">
        <v>100</v>
      </c>
      <c r="M43">
        <f t="shared" si="2"/>
        <v>9.5</v>
      </c>
      <c r="N43">
        <f t="shared" si="3"/>
        <v>9.5</v>
      </c>
      <c r="O43">
        <f t="shared" si="4"/>
        <v>15.200000000000001</v>
      </c>
      <c r="P43">
        <f t="shared" si="7"/>
        <v>300</v>
      </c>
      <c r="Q43">
        <f t="shared" si="8"/>
        <v>75</v>
      </c>
    </row>
    <row r="44" spans="1:17" x14ac:dyDescent="0.35">
      <c r="A44" s="1">
        <v>43</v>
      </c>
      <c r="B44" s="1">
        <v>92</v>
      </c>
      <c r="C44" s="1">
        <v>5</v>
      </c>
      <c r="D44" s="1">
        <v>100</v>
      </c>
      <c r="E44">
        <v>10</v>
      </c>
      <c r="F44">
        <f t="shared" si="5"/>
        <v>50</v>
      </c>
      <c r="G44">
        <f t="shared" si="6"/>
        <v>50</v>
      </c>
      <c r="H44">
        <f t="shared" si="0"/>
        <v>20</v>
      </c>
      <c r="I44">
        <v>20</v>
      </c>
      <c r="J44">
        <f t="shared" si="1"/>
        <v>10</v>
      </c>
      <c r="K44">
        <v>38</v>
      </c>
      <c r="L44" s="1">
        <v>100</v>
      </c>
      <c r="M44">
        <f t="shared" si="2"/>
        <v>9.5</v>
      </c>
      <c r="N44">
        <f t="shared" si="3"/>
        <v>9.5</v>
      </c>
      <c r="O44">
        <f t="shared" si="4"/>
        <v>15.200000000000001</v>
      </c>
      <c r="P44">
        <f t="shared" si="7"/>
        <v>300</v>
      </c>
      <c r="Q44">
        <f t="shared" si="8"/>
        <v>75</v>
      </c>
    </row>
    <row r="45" spans="1:17" x14ac:dyDescent="0.35">
      <c r="A45" s="1">
        <v>44</v>
      </c>
      <c r="B45" s="1">
        <v>99</v>
      </c>
      <c r="C45" s="1">
        <v>5</v>
      </c>
      <c r="D45" s="1">
        <v>100</v>
      </c>
      <c r="E45">
        <v>10</v>
      </c>
      <c r="F45">
        <f t="shared" si="5"/>
        <v>50</v>
      </c>
      <c r="G45">
        <f t="shared" si="6"/>
        <v>50</v>
      </c>
      <c r="H45">
        <f t="shared" si="0"/>
        <v>20</v>
      </c>
      <c r="I45">
        <v>20</v>
      </c>
      <c r="J45">
        <f t="shared" si="1"/>
        <v>10</v>
      </c>
      <c r="K45">
        <v>38</v>
      </c>
      <c r="L45" s="1">
        <v>100</v>
      </c>
      <c r="M45">
        <f t="shared" si="2"/>
        <v>9.5</v>
      </c>
      <c r="N45">
        <f t="shared" si="3"/>
        <v>9.5</v>
      </c>
      <c r="O45">
        <f t="shared" si="4"/>
        <v>15.200000000000001</v>
      </c>
      <c r="P45">
        <f t="shared" si="7"/>
        <v>300</v>
      </c>
      <c r="Q45">
        <f t="shared" si="8"/>
        <v>75</v>
      </c>
    </row>
    <row r="46" spans="1:17" x14ac:dyDescent="0.35">
      <c r="A46" s="1">
        <v>45</v>
      </c>
      <c r="B46" s="1">
        <v>100</v>
      </c>
      <c r="C46" s="1">
        <v>5</v>
      </c>
      <c r="D46" s="1">
        <v>352</v>
      </c>
      <c r="E46">
        <v>35</v>
      </c>
      <c r="F46">
        <f t="shared" si="5"/>
        <v>176</v>
      </c>
      <c r="G46">
        <f t="shared" si="6"/>
        <v>176</v>
      </c>
      <c r="H46">
        <f t="shared" si="0"/>
        <v>70.400000000000006</v>
      </c>
      <c r="I46">
        <v>70.400000000000006</v>
      </c>
      <c r="J46">
        <f t="shared" si="1"/>
        <v>35.200000000000003</v>
      </c>
      <c r="K46">
        <v>33</v>
      </c>
      <c r="L46" s="1">
        <v>352</v>
      </c>
      <c r="M46">
        <f t="shared" si="2"/>
        <v>8.25</v>
      </c>
      <c r="N46">
        <f t="shared" si="3"/>
        <v>8.25</v>
      </c>
      <c r="O46">
        <f t="shared" si="4"/>
        <v>13.200000000000001</v>
      </c>
      <c r="P46">
        <f t="shared" si="7"/>
        <v>1056</v>
      </c>
      <c r="Q46">
        <f t="shared" si="8"/>
        <v>264</v>
      </c>
    </row>
    <row r="47" spans="1:17" x14ac:dyDescent="0.35">
      <c r="A47" s="1">
        <v>46</v>
      </c>
      <c r="B47" s="1">
        <v>103</v>
      </c>
      <c r="C47" s="1">
        <v>5</v>
      </c>
      <c r="D47" s="1">
        <v>140</v>
      </c>
      <c r="E47">
        <v>15</v>
      </c>
      <c r="F47">
        <f t="shared" si="5"/>
        <v>70</v>
      </c>
      <c r="G47">
        <f t="shared" si="6"/>
        <v>70</v>
      </c>
      <c r="H47">
        <f t="shared" si="0"/>
        <v>28</v>
      </c>
      <c r="I47">
        <v>28</v>
      </c>
      <c r="J47">
        <f t="shared" si="1"/>
        <v>14</v>
      </c>
      <c r="K47">
        <v>37</v>
      </c>
      <c r="L47" s="1">
        <v>140</v>
      </c>
      <c r="M47">
        <f t="shared" si="2"/>
        <v>9.25</v>
      </c>
      <c r="N47">
        <f t="shared" si="3"/>
        <v>9.25</v>
      </c>
      <c r="O47">
        <f t="shared" si="4"/>
        <v>14.8</v>
      </c>
      <c r="P47">
        <f t="shared" si="7"/>
        <v>420</v>
      </c>
      <c r="Q47">
        <f t="shared" si="8"/>
        <v>105</v>
      </c>
    </row>
    <row r="48" spans="1:17" x14ac:dyDescent="0.35">
      <c r="A48" s="1">
        <v>47</v>
      </c>
      <c r="B48" s="1">
        <v>104</v>
      </c>
      <c r="C48" s="1">
        <v>5</v>
      </c>
      <c r="D48" s="1">
        <v>100</v>
      </c>
      <c r="E48">
        <v>10</v>
      </c>
      <c r="F48">
        <f t="shared" si="5"/>
        <v>50</v>
      </c>
      <c r="G48">
        <f t="shared" si="6"/>
        <v>50</v>
      </c>
      <c r="H48">
        <f t="shared" si="0"/>
        <v>20</v>
      </c>
      <c r="I48">
        <v>20</v>
      </c>
      <c r="J48">
        <f t="shared" si="1"/>
        <v>10</v>
      </c>
      <c r="K48">
        <v>38</v>
      </c>
      <c r="L48" s="1">
        <v>100</v>
      </c>
      <c r="M48">
        <f t="shared" si="2"/>
        <v>9.5</v>
      </c>
      <c r="N48">
        <f t="shared" si="3"/>
        <v>9.5</v>
      </c>
      <c r="O48">
        <f t="shared" si="4"/>
        <v>15.200000000000001</v>
      </c>
      <c r="P48">
        <f t="shared" si="7"/>
        <v>300</v>
      </c>
      <c r="Q48">
        <f t="shared" si="8"/>
        <v>75</v>
      </c>
    </row>
    <row r="49" spans="1:17" x14ac:dyDescent="0.35">
      <c r="A49" s="1">
        <v>48</v>
      </c>
      <c r="B49" s="1">
        <v>105</v>
      </c>
      <c r="C49" s="1">
        <v>5</v>
      </c>
      <c r="D49" s="1">
        <v>100</v>
      </c>
      <c r="E49">
        <v>10</v>
      </c>
      <c r="F49">
        <f t="shared" si="5"/>
        <v>50</v>
      </c>
      <c r="G49">
        <f t="shared" si="6"/>
        <v>50</v>
      </c>
      <c r="H49">
        <f t="shared" si="0"/>
        <v>20</v>
      </c>
      <c r="I49">
        <v>20</v>
      </c>
      <c r="J49">
        <f t="shared" si="1"/>
        <v>10</v>
      </c>
      <c r="K49">
        <v>38</v>
      </c>
      <c r="L49" s="1">
        <v>100</v>
      </c>
      <c r="M49">
        <f t="shared" si="2"/>
        <v>9.5</v>
      </c>
      <c r="N49">
        <f t="shared" si="3"/>
        <v>9.5</v>
      </c>
      <c r="O49">
        <f t="shared" si="4"/>
        <v>15.200000000000001</v>
      </c>
      <c r="P49">
        <f t="shared" si="7"/>
        <v>300</v>
      </c>
      <c r="Q49">
        <f t="shared" si="8"/>
        <v>75</v>
      </c>
    </row>
    <row r="50" spans="1:17" x14ac:dyDescent="0.35">
      <c r="A50" s="1">
        <v>49</v>
      </c>
      <c r="B50" s="1">
        <v>107</v>
      </c>
      <c r="C50" s="1">
        <v>5</v>
      </c>
      <c r="D50" s="1">
        <v>100</v>
      </c>
      <c r="E50">
        <v>10</v>
      </c>
      <c r="F50">
        <f t="shared" si="5"/>
        <v>50</v>
      </c>
      <c r="G50">
        <f t="shared" si="6"/>
        <v>50</v>
      </c>
      <c r="H50">
        <f t="shared" si="0"/>
        <v>20</v>
      </c>
      <c r="I50">
        <v>20</v>
      </c>
      <c r="J50">
        <f t="shared" si="1"/>
        <v>10</v>
      </c>
      <c r="K50">
        <v>38</v>
      </c>
      <c r="L50" s="1">
        <v>100</v>
      </c>
      <c r="M50">
        <f t="shared" si="2"/>
        <v>9.5</v>
      </c>
      <c r="N50">
        <f t="shared" si="3"/>
        <v>9.5</v>
      </c>
      <c r="O50">
        <f t="shared" si="4"/>
        <v>15.200000000000001</v>
      </c>
      <c r="P50">
        <f t="shared" si="7"/>
        <v>300</v>
      </c>
      <c r="Q50">
        <f t="shared" si="8"/>
        <v>75</v>
      </c>
    </row>
    <row r="51" spans="1:17" x14ac:dyDescent="0.35">
      <c r="A51" s="1">
        <v>50</v>
      </c>
      <c r="B51" s="1">
        <v>110</v>
      </c>
      <c r="C51" s="1">
        <v>5</v>
      </c>
      <c r="D51" s="1">
        <v>100</v>
      </c>
      <c r="E51">
        <v>10</v>
      </c>
      <c r="F51">
        <f t="shared" si="5"/>
        <v>50</v>
      </c>
      <c r="G51">
        <f t="shared" si="6"/>
        <v>50</v>
      </c>
      <c r="H51">
        <f t="shared" si="0"/>
        <v>20</v>
      </c>
      <c r="I51">
        <v>20</v>
      </c>
      <c r="J51">
        <f t="shared" si="1"/>
        <v>10</v>
      </c>
      <c r="K51">
        <v>38</v>
      </c>
      <c r="L51" s="1">
        <v>100</v>
      </c>
      <c r="M51">
        <f t="shared" si="2"/>
        <v>9.5</v>
      </c>
      <c r="N51">
        <f t="shared" si="3"/>
        <v>9.5</v>
      </c>
      <c r="O51">
        <f t="shared" si="4"/>
        <v>15.200000000000001</v>
      </c>
      <c r="P51">
        <f t="shared" si="7"/>
        <v>300</v>
      </c>
      <c r="Q51">
        <f t="shared" si="8"/>
        <v>75</v>
      </c>
    </row>
    <row r="52" spans="1:17" x14ac:dyDescent="0.35">
      <c r="A52" s="1">
        <v>51</v>
      </c>
      <c r="B52" s="1">
        <v>111</v>
      </c>
      <c r="C52" s="1">
        <v>5</v>
      </c>
      <c r="D52" s="1">
        <v>136</v>
      </c>
      <c r="E52">
        <v>15</v>
      </c>
      <c r="F52">
        <f t="shared" si="5"/>
        <v>68</v>
      </c>
      <c r="G52">
        <f t="shared" si="6"/>
        <v>68</v>
      </c>
      <c r="H52">
        <f t="shared" si="0"/>
        <v>27.200000000000003</v>
      </c>
      <c r="I52">
        <v>27.200000000000003</v>
      </c>
      <c r="J52">
        <f t="shared" si="1"/>
        <v>13.600000000000001</v>
      </c>
      <c r="K52">
        <v>37</v>
      </c>
      <c r="L52" s="1">
        <v>136</v>
      </c>
      <c r="M52">
        <f t="shared" si="2"/>
        <v>9.25</v>
      </c>
      <c r="N52">
        <f t="shared" si="3"/>
        <v>9.25</v>
      </c>
      <c r="O52">
        <f t="shared" si="4"/>
        <v>14.8</v>
      </c>
      <c r="P52">
        <f t="shared" si="7"/>
        <v>408</v>
      </c>
      <c r="Q52">
        <f t="shared" si="8"/>
        <v>102</v>
      </c>
    </row>
    <row r="53" spans="1:17" x14ac:dyDescent="0.35">
      <c r="A53" s="1">
        <v>52</v>
      </c>
      <c r="B53" s="1">
        <v>112</v>
      </c>
      <c r="C53" s="1">
        <v>5</v>
      </c>
      <c r="D53" s="1">
        <v>100</v>
      </c>
      <c r="E53">
        <v>10</v>
      </c>
      <c r="F53">
        <f t="shared" si="5"/>
        <v>50</v>
      </c>
      <c r="G53">
        <f t="shared" si="6"/>
        <v>50</v>
      </c>
      <c r="H53">
        <f t="shared" si="0"/>
        <v>20</v>
      </c>
      <c r="I53">
        <v>20</v>
      </c>
      <c r="J53">
        <f t="shared" si="1"/>
        <v>10</v>
      </c>
      <c r="K53">
        <v>38</v>
      </c>
      <c r="L53" s="1">
        <v>100</v>
      </c>
      <c r="M53">
        <f t="shared" si="2"/>
        <v>9.5</v>
      </c>
      <c r="N53">
        <f t="shared" si="3"/>
        <v>9.5</v>
      </c>
      <c r="O53">
        <f t="shared" si="4"/>
        <v>15.200000000000001</v>
      </c>
      <c r="P53">
        <f t="shared" si="7"/>
        <v>300</v>
      </c>
      <c r="Q53">
        <f t="shared" si="8"/>
        <v>75</v>
      </c>
    </row>
    <row r="54" spans="1:17" x14ac:dyDescent="0.35">
      <c r="A54" s="1">
        <v>53</v>
      </c>
      <c r="B54" s="1">
        <v>113</v>
      </c>
      <c r="C54" s="1">
        <v>5</v>
      </c>
      <c r="D54" s="1">
        <v>100</v>
      </c>
      <c r="E54">
        <v>10</v>
      </c>
      <c r="F54">
        <f t="shared" si="5"/>
        <v>50</v>
      </c>
      <c r="G54">
        <f t="shared" si="6"/>
        <v>50</v>
      </c>
      <c r="H54">
        <f t="shared" si="0"/>
        <v>20</v>
      </c>
      <c r="I54">
        <v>20</v>
      </c>
      <c r="J54">
        <f t="shared" si="1"/>
        <v>10</v>
      </c>
      <c r="K54">
        <v>38</v>
      </c>
      <c r="L54" s="1">
        <v>100</v>
      </c>
      <c r="M54">
        <f t="shared" si="2"/>
        <v>9.5</v>
      </c>
      <c r="N54">
        <f t="shared" si="3"/>
        <v>9.5</v>
      </c>
      <c r="O54">
        <f t="shared" si="4"/>
        <v>15.200000000000001</v>
      </c>
      <c r="P54">
        <f t="shared" si="7"/>
        <v>300</v>
      </c>
      <c r="Q54">
        <f t="shared" si="8"/>
        <v>75</v>
      </c>
    </row>
    <row r="55" spans="1:17" x14ac:dyDescent="0.35">
      <c r="A55" s="1">
        <v>54</v>
      </c>
      <c r="B55" s="1">
        <v>116</v>
      </c>
      <c r="C55" s="1">
        <v>5</v>
      </c>
      <c r="D55" s="1">
        <v>100</v>
      </c>
      <c r="E55">
        <v>10</v>
      </c>
      <c r="F55">
        <f t="shared" si="5"/>
        <v>50</v>
      </c>
      <c r="G55">
        <f t="shared" si="6"/>
        <v>50</v>
      </c>
      <c r="H55">
        <f t="shared" si="0"/>
        <v>20</v>
      </c>
      <c r="I55">
        <v>20</v>
      </c>
      <c r="J55">
        <f t="shared" si="1"/>
        <v>10</v>
      </c>
      <c r="K55">
        <v>38</v>
      </c>
      <c r="L55" s="1">
        <v>100</v>
      </c>
      <c r="M55">
        <f t="shared" si="2"/>
        <v>9.5</v>
      </c>
      <c r="N55">
        <f t="shared" si="3"/>
        <v>9.5</v>
      </c>
      <c r="O55">
        <f t="shared" si="4"/>
        <v>15.200000000000001</v>
      </c>
      <c r="P55">
        <f t="shared" si="7"/>
        <v>300</v>
      </c>
      <c r="Q55">
        <f t="shared" si="8"/>
        <v>75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0A93-58F1-49CE-A35B-C00A15AEB8F9}">
  <dimension ref="A1:G187"/>
  <sheetViews>
    <sheetView workbookViewId="0">
      <selection activeCell="H22" sqref="H22"/>
    </sheetView>
  </sheetViews>
  <sheetFormatPr defaultRowHeight="14.15" x14ac:dyDescent="0.35"/>
  <sheetData>
    <row r="1" spans="1:7" x14ac:dyDescent="0.35">
      <c r="A1" t="s">
        <v>1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</row>
    <row r="2" spans="1:7" x14ac:dyDescent="0.35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  <c r="G2">
        <v>500</v>
      </c>
    </row>
    <row r="3" spans="1:7" x14ac:dyDescent="0.35">
      <c r="A3">
        <v>2</v>
      </c>
      <c r="B3">
        <v>1</v>
      </c>
      <c r="C3">
        <v>3</v>
      </c>
      <c r="D3">
        <v>1.29E-2</v>
      </c>
      <c r="E3">
        <v>4.24E-2</v>
      </c>
      <c r="F3">
        <v>1.082E-2</v>
      </c>
      <c r="G3">
        <v>500</v>
      </c>
    </row>
    <row r="4" spans="1:7" x14ac:dyDescent="0.35">
      <c r="A4">
        <v>3</v>
      </c>
      <c r="B4">
        <v>4</v>
      </c>
      <c r="C4">
        <v>5</v>
      </c>
      <c r="D4">
        <v>1.7600000000000001E-3</v>
      </c>
      <c r="E4">
        <v>7.9799999999999992E-3</v>
      </c>
      <c r="F4">
        <v>2.0999999999999999E-3</v>
      </c>
      <c r="G4">
        <v>500</v>
      </c>
    </row>
    <row r="5" spans="1:7" x14ac:dyDescent="0.35">
      <c r="A5"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  <c r="G5">
        <v>500</v>
      </c>
    </row>
    <row r="6" spans="1:7" x14ac:dyDescent="0.35">
      <c r="A6">
        <v>5</v>
      </c>
      <c r="B6">
        <v>5</v>
      </c>
      <c r="C6">
        <v>6</v>
      </c>
      <c r="D6">
        <v>1.1900000000000001E-2</v>
      </c>
      <c r="E6">
        <v>5.3999999999999999E-2</v>
      </c>
      <c r="F6">
        <v>1.426E-2</v>
      </c>
      <c r="G6">
        <v>500</v>
      </c>
    </row>
    <row r="7" spans="1:7" x14ac:dyDescent="0.35">
      <c r="A7">
        <v>6</v>
      </c>
      <c r="B7">
        <v>6</v>
      </c>
      <c r="C7">
        <v>7</v>
      </c>
      <c r="D7">
        <v>4.5900000000000003E-3</v>
      </c>
      <c r="E7">
        <v>2.0799999999999999E-2</v>
      </c>
      <c r="F7">
        <v>5.4999999999999997E-3</v>
      </c>
      <c r="G7">
        <v>500</v>
      </c>
    </row>
    <row r="8" spans="1:7" x14ac:dyDescent="0.35">
      <c r="A8">
        <v>7</v>
      </c>
      <c r="B8">
        <v>8</v>
      </c>
      <c r="C8">
        <v>9</v>
      </c>
      <c r="D8">
        <v>2.4399999999999999E-3</v>
      </c>
      <c r="E8">
        <v>3.0499999999999999E-2</v>
      </c>
      <c r="F8">
        <v>1.1619999999999999</v>
      </c>
      <c r="G8">
        <v>500</v>
      </c>
    </row>
    <row r="9" spans="1:7" x14ac:dyDescent="0.35">
      <c r="A9">
        <v>8</v>
      </c>
      <c r="B9">
        <v>8</v>
      </c>
      <c r="C9">
        <v>5</v>
      </c>
      <c r="D9">
        <v>0</v>
      </c>
      <c r="E9">
        <v>2.6700000000000002E-2</v>
      </c>
      <c r="F9">
        <v>0</v>
      </c>
      <c r="G9">
        <v>300</v>
      </c>
    </row>
    <row r="10" spans="1:7" x14ac:dyDescent="0.35">
      <c r="A10">
        <v>9</v>
      </c>
      <c r="B10">
        <v>9</v>
      </c>
      <c r="C10">
        <v>10</v>
      </c>
      <c r="D10">
        <v>2.5799999999999998E-3</v>
      </c>
      <c r="E10">
        <v>3.2199999999999999E-2</v>
      </c>
      <c r="F10">
        <v>1.23</v>
      </c>
      <c r="G10">
        <v>500</v>
      </c>
    </row>
    <row r="11" spans="1:7" x14ac:dyDescent="0.35">
      <c r="A11">
        <v>10</v>
      </c>
      <c r="B11">
        <v>4</v>
      </c>
      <c r="C11">
        <v>11</v>
      </c>
      <c r="D11">
        <v>2.0899999999999998E-2</v>
      </c>
      <c r="E11">
        <v>6.88E-2</v>
      </c>
      <c r="F11">
        <v>1.7479999999999999E-2</v>
      </c>
      <c r="G11">
        <v>500</v>
      </c>
    </row>
    <row r="12" spans="1:7" x14ac:dyDescent="0.35">
      <c r="A12">
        <v>11</v>
      </c>
      <c r="B12">
        <v>5</v>
      </c>
      <c r="C12">
        <v>11</v>
      </c>
      <c r="D12">
        <v>2.0299999999999999E-2</v>
      </c>
      <c r="E12">
        <v>6.8199999999999997E-2</v>
      </c>
      <c r="F12">
        <v>1.738E-2</v>
      </c>
      <c r="G12">
        <v>500</v>
      </c>
    </row>
    <row r="13" spans="1:7" x14ac:dyDescent="0.35">
      <c r="A13">
        <v>12</v>
      </c>
      <c r="B13">
        <v>11</v>
      </c>
      <c r="C13">
        <v>12</v>
      </c>
      <c r="D13">
        <v>5.9500000000000004E-3</v>
      </c>
      <c r="E13">
        <v>1.9599999999999999E-2</v>
      </c>
      <c r="F13">
        <v>5.0200000000000002E-3</v>
      </c>
      <c r="G13">
        <v>500</v>
      </c>
    </row>
    <row r="14" spans="1:7" x14ac:dyDescent="0.35">
      <c r="A14">
        <v>13</v>
      </c>
      <c r="B14">
        <v>2</v>
      </c>
      <c r="C14">
        <v>12</v>
      </c>
      <c r="D14">
        <v>1.8700000000000001E-2</v>
      </c>
      <c r="E14">
        <v>6.1600000000000002E-2</v>
      </c>
      <c r="F14">
        <v>1.5720000000000001E-2</v>
      </c>
      <c r="G14">
        <v>500</v>
      </c>
    </row>
    <row r="15" spans="1:7" x14ac:dyDescent="0.35">
      <c r="A15">
        <v>14</v>
      </c>
      <c r="B15">
        <v>3</v>
      </c>
      <c r="C15">
        <v>12</v>
      </c>
      <c r="D15">
        <v>4.8399999999999999E-2</v>
      </c>
      <c r="E15">
        <v>0.16</v>
      </c>
      <c r="F15">
        <v>4.0599999999999997E-2</v>
      </c>
      <c r="G15">
        <v>500</v>
      </c>
    </row>
    <row r="16" spans="1:7" x14ac:dyDescent="0.35">
      <c r="A16">
        <v>15</v>
      </c>
      <c r="B16">
        <v>7</v>
      </c>
      <c r="C16">
        <v>12</v>
      </c>
      <c r="D16">
        <v>8.6199999999999992E-3</v>
      </c>
      <c r="E16">
        <v>3.4000000000000002E-2</v>
      </c>
      <c r="F16">
        <v>8.7399999999999995E-3</v>
      </c>
      <c r="G16">
        <v>500</v>
      </c>
    </row>
    <row r="17" spans="1:7" x14ac:dyDescent="0.35">
      <c r="A17">
        <v>16</v>
      </c>
      <c r="B17">
        <v>11</v>
      </c>
      <c r="C17">
        <v>13</v>
      </c>
      <c r="D17">
        <v>2.2249999999999999E-2</v>
      </c>
      <c r="E17">
        <v>7.3099999999999998E-2</v>
      </c>
      <c r="F17">
        <v>1.8759999999999999E-2</v>
      </c>
      <c r="G17">
        <v>500</v>
      </c>
    </row>
    <row r="18" spans="1:7" x14ac:dyDescent="0.35">
      <c r="A18">
        <v>17</v>
      </c>
      <c r="B18">
        <v>12</v>
      </c>
      <c r="C18">
        <v>14</v>
      </c>
      <c r="D18">
        <v>2.1499999999999998E-2</v>
      </c>
      <c r="E18">
        <v>7.0699999999999999E-2</v>
      </c>
      <c r="F18">
        <v>1.8159999999999999E-2</v>
      </c>
      <c r="G18">
        <v>500</v>
      </c>
    </row>
    <row r="19" spans="1:7" x14ac:dyDescent="0.35">
      <c r="A19">
        <v>18</v>
      </c>
      <c r="B19">
        <v>13</v>
      </c>
      <c r="C19">
        <v>15</v>
      </c>
      <c r="D19">
        <v>7.4399999999999994E-2</v>
      </c>
      <c r="E19">
        <v>0.24440000000000001</v>
      </c>
      <c r="F19">
        <v>6.268E-2</v>
      </c>
      <c r="G19">
        <v>500</v>
      </c>
    </row>
    <row r="20" spans="1:7" x14ac:dyDescent="0.35">
      <c r="A20">
        <v>19</v>
      </c>
      <c r="B20">
        <v>14</v>
      </c>
      <c r="C20">
        <v>15</v>
      </c>
      <c r="D20">
        <v>5.9499999999999997E-2</v>
      </c>
      <c r="E20">
        <v>0.19500000000000001</v>
      </c>
      <c r="F20">
        <v>5.0200000000000002E-2</v>
      </c>
      <c r="G20">
        <v>500</v>
      </c>
    </row>
    <row r="21" spans="1:7" x14ac:dyDescent="0.35">
      <c r="A21">
        <v>20</v>
      </c>
      <c r="B21">
        <v>12</v>
      </c>
      <c r="C21">
        <v>16</v>
      </c>
      <c r="D21">
        <v>2.12E-2</v>
      </c>
      <c r="E21">
        <v>8.3400000000000002E-2</v>
      </c>
      <c r="F21">
        <v>2.1399999999999999E-2</v>
      </c>
      <c r="G21">
        <v>500</v>
      </c>
    </row>
    <row r="22" spans="1:7" x14ac:dyDescent="0.35">
      <c r="A22">
        <v>21</v>
      </c>
      <c r="B22">
        <v>15</v>
      </c>
      <c r="C22">
        <v>17</v>
      </c>
      <c r="D22">
        <v>1.32E-2</v>
      </c>
      <c r="E22">
        <v>4.3700000000000003E-2</v>
      </c>
      <c r="F22">
        <v>4.4400000000000002E-2</v>
      </c>
      <c r="G22">
        <v>500</v>
      </c>
    </row>
    <row r="23" spans="1:7" x14ac:dyDescent="0.35">
      <c r="A23">
        <v>22</v>
      </c>
      <c r="B23">
        <v>16</v>
      </c>
      <c r="C23">
        <v>17</v>
      </c>
      <c r="D23">
        <v>4.5400000000000003E-2</v>
      </c>
      <c r="E23">
        <v>0.18010000000000001</v>
      </c>
      <c r="F23">
        <v>4.6600000000000003E-2</v>
      </c>
      <c r="G23">
        <v>500</v>
      </c>
    </row>
    <row r="24" spans="1:7" x14ac:dyDescent="0.35">
      <c r="A24">
        <v>23</v>
      </c>
      <c r="B24">
        <v>17</v>
      </c>
      <c r="C24">
        <v>18</v>
      </c>
      <c r="D24">
        <v>1.23E-2</v>
      </c>
      <c r="E24">
        <v>5.0500000000000003E-2</v>
      </c>
      <c r="F24">
        <v>1.298E-2</v>
      </c>
      <c r="G24">
        <v>500</v>
      </c>
    </row>
    <row r="25" spans="1:7" x14ac:dyDescent="0.35">
      <c r="A25">
        <v>24</v>
      </c>
      <c r="B25">
        <v>18</v>
      </c>
      <c r="C25">
        <v>19</v>
      </c>
      <c r="D25">
        <v>1.119E-2</v>
      </c>
      <c r="E25">
        <v>4.9299999999999997E-2</v>
      </c>
      <c r="F25">
        <v>1.142E-2</v>
      </c>
      <c r="G25">
        <v>500</v>
      </c>
    </row>
    <row r="26" spans="1:7" x14ac:dyDescent="0.35">
      <c r="A26">
        <v>25</v>
      </c>
      <c r="B26">
        <v>19</v>
      </c>
      <c r="C26">
        <v>20</v>
      </c>
      <c r="D26">
        <v>2.52E-2</v>
      </c>
      <c r="E26">
        <v>0.11700000000000001</v>
      </c>
      <c r="F26">
        <v>2.98E-2</v>
      </c>
      <c r="G26">
        <v>500</v>
      </c>
    </row>
    <row r="27" spans="1:7" x14ac:dyDescent="0.35">
      <c r="A27">
        <v>26</v>
      </c>
      <c r="B27">
        <v>15</v>
      </c>
      <c r="C27">
        <v>19</v>
      </c>
      <c r="D27">
        <v>1.2E-2</v>
      </c>
      <c r="E27">
        <v>3.9399999999999998E-2</v>
      </c>
      <c r="F27">
        <v>1.01E-2</v>
      </c>
      <c r="G27">
        <v>500</v>
      </c>
    </row>
    <row r="28" spans="1:7" x14ac:dyDescent="0.35">
      <c r="A28">
        <v>27</v>
      </c>
      <c r="B28">
        <v>20</v>
      </c>
      <c r="C28">
        <v>21</v>
      </c>
      <c r="D28">
        <v>1.83E-2</v>
      </c>
      <c r="E28">
        <v>8.4900000000000003E-2</v>
      </c>
      <c r="F28">
        <v>2.1600000000000001E-2</v>
      </c>
      <c r="G28">
        <v>500</v>
      </c>
    </row>
    <row r="29" spans="1:7" x14ac:dyDescent="0.35">
      <c r="A29">
        <v>28</v>
      </c>
      <c r="B29">
        <v>21</v>
      </c>
      <c r="C29">
        <v>22</v>
      </c>
      <c r="D29">
        <v>2.0899999999999998E-2</v>
      </c>
      <c r="E29">
        <v>9.7000000000000003E-2</v>
      </c>
      <c r="F29">
        <v>2.46E-2</v>
      </c>
      <c r="G29">
        <v>500</v>
      </c>
    </row>
    <row r="30" spans="1:7" x14ac:dyDescent="0.35">
      <c r="A30">
        <v>29</v>
      </c>
      <c r="B30">
        <v>22</v>
      </c>
      <c r="C30">
        <v>23</v>
      </c>
      <c r="D30">
        <v>3.4200000000000001E-2</v>
      </c>
      <c r="E30">
        <v>0.159</v>
      </c>
      <c r="F30">
        <v>4.0399999999999998E-2</v>
      </c>
      <c r="G30">
        <v>500</v>
      </c>
    </row>
    <row r="31" spans="1:7" x14ac:dyDescent="0.35">
      <c r="A31">
        <v>30</v>
      </c>
      <c r="B31">
        <v>23</v>
      </c>
      <c r="C31">
        <v>24</v>
      </c>
      <c r="D31">
        <v>1.35E-2</v>
      </c>
      <c r="E31">
        <v>4.9200000000000001E-2</v>
      </c>
      <c r="F31">
        <v>4.9799999999999997E-2</v>
      </c>
      <c r="G31">
        <v>500</v>
      </c>
    </row>
    <row r="32" spans="1:7" x14ac:dyDescent="0.35">
      <c r="A32">
        <v>31</v>
      </c>
      <c r="B32">
        <v>23</v>
      </c>
      <c r="C32">
        <v>25</v>
      </c>
      <c r="D32">
        <v>1.5599999999999999E-2</v>
      </c>
      <c r="E32">
        <v>0.08</v>
      </c>
      <c r="F32">
        <v>8.6400000000000005E-2</v>
      </c>
      <c r="G32">
        <v>500</v>
      </c>
    </row>
    <row r="33" spans="1:7" x14ac:dyDescent="0.35">
      <c r="A33">
        <v>32</v>
      </c>
      <c r="B33">
        <v>26</v>
      </c>
      <c r="C33">
        <v>25</v>
      </c>
      <c r="D33">
        <v>0</v>
      </c>
      <c r="E33">
        <v>3.8199999999999998E-2</v>
      </c>
      <c r="F33">
        <v>0</v>
      </c>
      <c r="G33">
        <v>500</v>
      </c>
    </row>
    <row r="34" spans="1:7" x14ac:dyDescent="0.35">
      <c r="A34">
        <v>33</v>
      </c>
      <c r="B34">
        <v>25</v>
      </c>
      <c r="C34">
        <v>27</v>
      </c>
      <c r="D34">
        <v>3.1800000000000002E-2</v>
      </c>
      <c r="E34">
        <v>0.16300000000000001</v>
      </c>
      <c r="F34">
        <v>0.1764</v>
      </c>
      <c r="G34">
        <v>500</v>
      </c>
    </row>
    <row r="35" spans="1:7" x14ac:dyDescent="0.35">
      <c r="A35">
        <v>34</v>
      </c>
      <c r="B35">
        <v>27</v>
      </c>
      <c r="C35">
        <v>28</v>
      </c>
      <c r="D35">
        <v>1.9130000000000001E-2</v>
      </c>
      <c r="E35">
        <v>8.5500000000000007E-2</v>
      </c>
      <c r="F35">
        <v>2.1600000000000001E-2</v>
      </c>
      <c r="G35">
        <v>500</v>
      </c>
    </row>
    <row r="36" spans="1:7" x14ac:dyDescent="0.35">
      <c r="A36">
        <v>35</v>
      </c>
      <c r="B36">
        <v>28</v>
      </c>
      <c r="C36">
        <v>29</v>
      </c>
      <c r="D36">
        <v>2.3699999999999999E-2</v>
      </c>
      <c r="E36">
        <v>9.4299999999999995E-2</v>
      </c>
      <c r="F36">
        <v>2.3800000000000002E-2</v>
      </c>
      <c r="G36">
        <v>500</v>
      </c>
    </row>
    <row r="37" spans="1:7" x14ac:dyDescent="0.35">
      <c r="A37">
        <v>36</v>
      </c>
      <c r="B37">
        <v>30</v>
      </c>
      <c r="C37">
        <v>17</v>
      </c>
      <c r="D37">
        <v>0</v>
      </c>
      <c r="E37">
        <v>3.8800000000000001E-2</v>
      </c>
      <c r="F37">
        <v>0</v>
      </c>
      <c r="G37">
        <v>500</v>
      </c>
    </row>
    <row r="38" spans="1:7" x14ac:dyDescent="0.35">
      <c r="A38">
        <v>37</v>
      </c>
      <c r="B38">
        <v>8</v>
      </c>
      <c r="C38">
        <v>30</v>
      </c>
      <c r="D38">
        <v>4.3099999999999996E-3</v>
      </c>
      <c r="E38">
        <v>5.04E-2</v>
      </c>
      <c r="F38">
        <v>0.51400000000000001</v>
      </c>
      <c r="G38">
        <v>500</v>
      </c>
    </row>
    <row r="39" spans="1:7" x14ac:dyDescent="0.35">
      <c r="A39">
        <v>38</v>
      </c>
      <c r="B39">
        <v>26</v>
      </c>
      <c r="C39">
        <v>30</v>
      </c>
      <c r="D39">
        <v>7.9900000000000006E-3</v>
      </c>
      <c r="E39">
        <v>8.5999999999999993E-2</v>
      </c>
      <c r="F39">
        <v>0.90800000000000003</v>
      </c>
      <c r="G39">
        <v>500</v>
      </c>
    </row>
    <row r="40" spans="1:7" x14ac:dyDescent="0.35">
      <c r="A40">
        <v>39</v>
      </c>
      <c r="B40">
        <v>17</v>
      </c>
      <c r="C40">
        <v>31</v>
      </c>
      <c r="D40">
        <v>4.7399999999999998E-2</v>
      </c>
      <c r="E40">
        <v>0.15629999999999999</v>
      </c>
      <c r="F40">
        <v>3.9899999999999998E-2</v>
      </c>
      <c r="G40">
        <v>500</v>
      </c>
    </row>
    <row r="41" spans="1:7" x14ac:dyDescent="0.35">
      <c r="A41">
        <v>40</v>
      </c>
      <c r="B41">
        <v>29</v>
      </c>
      <c r="C41">
        <v>31</v>
      </c>
      <c r="D41">
        <v>1.0800000000000001E-2</v>
      </c>
      <c r="E41">
        <v>3.3099999999999997E-2</v>
      </c>
      <c r="F41">
        <v>8.3000000000000001E-3</v>
      </c>
      <c r="G41">
        <v>500</v>
      </c>
    </row>
    <row r="42" spans="1:7" x14ac:dyDescent="0.35">
      <c r="A42">
        <v>41</v>
      </c>
      <c r="B42">
        <v>23</v>
      </c>
      <c r="C42">
        <v>32</v>
      </c>
      <c r="D42">
        <v>3.1699999999999999E-2</v>
      </c>
      <c r="E42">
        <v>0.1153</v>
      </c>
      <c r="F42">
        <v>0.1173</v>
      </c>
      <c r="G42">
        <v>500</v>
      </c>
    </row>
    <row r="43" spans="1:7" x14ac:dyDescent="0.35">
      <c r="A43">
        <v>42</v>
      </c>
      <c r="B43">
        <v>31</v>
      </c>
      <c r="C43">
        <v>32</v>
      </c>
      <c r="D43">
        <v>2.98E-2</v>
      </c>
      <c r="E43">
        <v>9.8500000000000004E-2</v>
      </c>
      <c r="F43">
        <v>2.5100000000000001E-2</v>
      </c>
      <c r="G43">
        <v>500</v>
      </c>
    </row>
    <row r="44" spans="1:7" x14ac:dyDescent="0.35">
      <c r="A44">
        <v>43</v>
      </c>
      <c r="B44">
        <v>27</v>
      </c>
      <c r="C44">
        <v>32</v>
      </c>
      <c r="D44">
        <v>2.29E-2</v>
      </c>
      <c r="E44">
        <v>7.5499999999999998E-2</v>
      </c>
      <c r="F44">
        <v>1.9259999999999999E-2</v>
      </c>
      <c r="G44">
        <v>500</v>
      </c>
    </row>
    <row r="45" spans="1:7" x14ac:dyDescent="0.35">
      <c r="A45">
        <v>44</v>
      </c>
      <c r="B45">
        <v>15</v>
      </c>
      <c r="C45">
        <v>33</v>
      </c>
      <c r="D45">
        <v>3.7999999999999999E-2</v>
      </c>
      <c r="E45">
        <v>0.1244</v>
      </c>
      <c r="F45">
        <v>3.1940000000000003E-2</v>
      </c>
      <c r="G45">
        <v>500</v>
      </c>
    </row>
    <row r="46" spans="1:7" x14ac:dyDescent="0.35">
      <c r="A46">
        <v>45</v>
      </c>
      <c r="B46">
        <v>19</v>
      </c>
      <c r="C46">
        <v>34</v>
      </c>
      <c r="D46">
        <v>7.5200000000000003E-2</v>
      </c>
      <c r="E46">
        <v>0.247</v>
      </c>
      <c r="F46">
        <v>6.3200000000000006E-2</v>
      </c>
      <c r="G46">
        <v>500</v>
      </c>
    </row>
    <row r="47" spans="1:7" x14ac:dyDescent="0.35">
      <c r="A47">
        <v>46</v>
      </c>
      <c r="B47">
        <v>35</v>
      </c>
      <c r="C47">
        <v>36</v>
      </c>
      <c r="D47">
        <v>2.2399999999999998E-3</v>
      </c>
      <c r="E47">
        <v>1.0200000000000001E-2</v>
      </c>
      <c r="F47">
        <v>2.6800000000000001E-3</v>
      </c>
      <c r="G47">
        <v>500</v>
      </c>
    </row>
    <row r="48" spans="1:7" x14ac:dyDescent="0.35">
      <c r="A48">
        <v>47</v>
      </c>
      <c r="B48">
        <v>35</v>
      </c>
      <c r="C48">
        <v>37</v>
      </c>
      <c r="D48">
        <v>1.0999999999999999E-2</v>
      </c>
      <c r="E48">
        <v>4.9700000000000001E-2</v>
      </c>
      <c r="F48">
        <v>1.3180000000000001E-2</v>
      </c>
      <c r="G48">
        <v>500</v>
      </c>
    </row>
    <row r="49" spans="1:7" x14ac:dyDescent="0.35">
      <c r="A49">
        <v>48</v>
      </c>
      <c r="B49">
        <v>33</v>
      </c>
      <c r="C49">
        <v>37</v>
      </c>
      <c r="D49">
        <v>4.1500000000000002E-2</v>
      </c>
      <c r="E49">
        <v>0.14199999999999999</v>
      </c>
      <c r="F49">
        <v>3.6600000000000001E-2</v>
      </c>
      <c r="G49">
        <v>500</v>
      </c>
    </row>
    <row r="50" spans="1:7" x14ac:dyDescent="0.35">
      <c r="A50">
        <v>49</v>
      </c>
      <c r="B50">
        <v>34</v>
      </c>
      <c r="C50">
        <v>36</v>
      </c>
      <c r="D50">
        <v>8.7100000000000007E-3</v>
      </c>
      <c r="E50">
        <v>2.6800000000000001E-2</v>
      </c>
      <c r="F50">
        <v>5.6800000000000002E-3</v>
      </c>
      <c r="G50">
        <v>500</v>
      </c>
    </row>
    <row r="51" spans="1:7" x14ac:dyDescent="0.35">
      <c r="A51">
        <v>50</v>
      </c>
      <c r="B51">
        <v>34</v>
      </c>
      <c r="C51">
        <v>37</v>
      </c>
      <c r="D51">
        <v>2.5600000000000002E-3</v>
      </c>
      <c r="E51">
        <v>9.4000000000000004E-3</v>
      </c>
      <c r="F51">
        <v>9.8399999999999998E-3</v>
      </c>
      <c r="G51">
        <v>500</v>
      </c>
    </row>
    <row r="52" spans="1:7" x14ac:dyDescent="0.35">
      <c r="A52">
        <v>51</v>
      </c>
      <c r="B52">
        <v>38</v>
      </c>
      <c r="C52">
        <v>37</v>
      </c>
      <c r="D52">
        <v>0</v>
      </c>
      <c r="E52">
        <v>3.7499999999999999E-2</v>
      </c>
      <c r="F52">
        <v>0</v>
      </c>
      <c r="G52">
        <v>500</v>
      </c>
    </row>
    <row r="53" spans="1:7" x14ac:dyDescent="0.35">
      <c r="A53">
        <v>52</v>
      </c>
      <c r="B53">
        <v>37</v>
      </c>
      <c r="C53">
        <v>39</v>
      </c>
      <c r="D53">
        <v>3.2099999999999997E-2</v>
      </c>
      <c r="E53">
        <v>0.106</v>
      </c>
      <c r="F53">
        <v>2.7E-2</v>
      </c>
      <c r="G53">
        <v>500</v>
      </c>
    </row>
    <row r="54" spans="1:7" x14ac:dyDescent="0.35">
      <c r="A54">
        <v>53</v>
      </c>
      <c r="B54">
        <v>37</v>
      </c>
      <c r="C54">
        <v>40</v>
      </c>
      <c r="D54">
        <v>5.9299999999999999E-2</v>
      </c>
      <c r="E54">
        <v>0.16800000000000001</v>
      </c>
      <c r="F54">
        <v>4.2000000000000003E-2</v>
      </c>
      <c r="G54">
        <v>500</v>
      </c>
    </row>
    <row r="55" spans="1:7" x14ac:dyDescent="0.35">
      <c r="A55">
        <v>54</v>
      </c>
      <c r="B55">
        <v>30</v>
      </c>
      <c r="C55">
        <v>38</v>
      </c>
      <c r="D55">
        <v>4.64E-3</v>
      </c>
      <c r="E55">
        <v>5.3999999999999999E-2</v>
      </c>
      <c r="F55">
        <v>0.42199999999999999</v>
      </c>
      <c r="G55">
        <v>500</v>
      </c>
    </row>
    <row r="56" spans="1:7" x14ac:dyDescent="0.35">
      <c r="A56">
        <v>55</v>
      </c>
      <c r="B56">
        <v>39</v>
      </c>
      <c r="C56">
        <v>40</v>
      </c>
      <c r="D56">
        <v>1.84E-2</v>
      </c>
      <c r="E56">
        <v>6.0499999999999998E-2</v>
      </c>
      <c r="F56">
        <v>1.5520000000000001E-2</v>
      </c>
      <c r="G56">
        <v>500</v>
      </c>
    </row>
    <row r="57" spans="1:7" x14ac:dyDescent="0.35">
      <c r="A57">
        <v>56</v>
      </c>
      <c r="B57">
        <v>40</v>
      </c>
      <c r="C57">
        <v>41</v>
      </c>
      <c r="D57">
        <v>1.4500000000000001E-2</v>
      </c>
      <c r="E57">
        <v>4.87E-2</v>
      </c>
      <c r="F57">
        <v>1.222E-2</v>
      </c>
      <c r="G57">
        <v>500</v>
      </c>
    </row>
    <row r="58" spans="1:7" x14ac:dyDescent="0.35">
      <c r="A58">
        <v>57</v>
      </c>
      <c r="B58">
        <v>40</v>
      </c>
      <c r="C58">
        <v>42</v>
      </c>
      <c r="D58">
        <v>5.5500000000000001E-2</v>
      </c>
      <c r="E58">
        <v>0.183</v>
      </c>
      <c r="F58">
        <v>4.6600000000000003E-2</v>
      </c>
      <c r="G58">
        <v>500</v>
      </c>
    </row>
    <row r="59" spans="1:7" x14ac:dyDescent="0.35">
      <c r="A59">
        <v>58</v>
      </c>
      <c r="B59">
        <v>41</v>
      </c>
      <c r="C59">
        <v>42</v>
      </c>
      <c r="D59">
        <v>4.1000000000000002E-2</v>
      </c>
      <c r="E59">
        <v>0.13500000000000001</v>
      </c>
      <c r="F59">
        <v>3.44E-2</v>
      </c>
      <c r="G59">
        <v>500</v>
      </c>
    </row>
    <row r="60" spans="1:7" x14ac:dyDescent="0.35">
      <c r="A60">
        <v>59</v>
      </c>
      <c r="B60">
        <v>43</v>
      </c>
      <c r="C60">
        <v>44</v>
      </c>
      <c r="D60">
        <v>6.08E-2</v>
      </c>
      <c r="E60">
        <v>0.24540000000000001</v>
      </c>
      <c r="F60">
        <v>6.0679999999999998E-2</v>
      </c>
      <c r="G60">
        <v>500</v>
      </c>
    </row>
    <row r="61" spans="1:7" x14ac:dyDescent="0.35">
      <c r="A61">
        <v>60</v>
      </c>
      <c r="B61">
        <v>34</v>
      </c>
      <c r="C61">
        <v>43</v>
      </c>
      <c r="D61">
        <v>4.1300000000000003E-2</v>
      </c>
      <c r="E61">
        <v>0.1681</v>
      </c>
      <c r="F61">
        <v>4.2259999999999999E-2</v>
      </c>
      <c r="G61">
        <v>500</v>
      </c>
    </row>
    <row r="62" spans="1:7" x14ac:dyDescent="0.35">
      <c r="A62">
        <v>61</v>
      </c>
      <c r="B62">
        <v>44</v>
      </c>
      <c r="C62">
        <v>45</v>
      </c>
      <c r="D62">
        <v>2.24E-2</v>
      </c>
      <c r="E62">
        <v>9.01E-2</v>
      </c>
      <c r="F62">
        <v>2.24E-2</v>
      </c>
      <c r="G62">
        <v>500</v>
      </c>
    </row>
    <row r="63" spans="1:7" x14ac:dyDescent="0.35">
      <c r="A63">
        <v>62</v>
      </c>
      <c r="B63">
        <v>45</v>
      </c>
      <c r="C63">
        <v>46</v>
      </c>
      <c r="D63">
        <v>0.04</v>
      </c>
      <c r="E63">
        <v>0.1356</v>
      </c>
      <c r="F63">
        <v>3.32E-2</v>
      </c>
      <c r="G63">
        <v>500</v>
      </c>
    </row>
    <row r="64" spans="1:7" x14ac:dyDescent="0.35">
      <c r="A64">
        <v>63</v>
      </c>
      <c r="B64">
        <v>46</v>
      </c>
      <c r="C64">
        <v>47</v>
      </c>
      <c r="D64">
        <v>3.7999999999999999E-2</v>
      </c>
      <c r="E64">
        <v>0.127</v>
      </c>
      <c r="F64">
        <v>3.1600000000000003E-2</v>
      </c>
      <c r="G64">
        <v>500</v>
      </c>
    </row>
    <row r="65" spans="1:7" x14ac:dyDescent="0.35">
      <c r="A65">
        <v>64</v>
      </c>
      <c r="B65">
        <v>46</v>
      </c>
      <c r="C65">
        <v>48</v>
      </c>
      <c r="D65">
        <v>6.0100000000000001E-2</v>
      </c>
      <c r="E65">
        <v>0.189</v>
      </c>
      <c r="F65">
        <v>4.7199999999999999E-2</v>
      </c>
      <c r="G65">
        <v>500</v>
      </c>
    </row>
    <row r="66" spans="1:7" x14ac:dyDescent="0.35">
      <c r="A66">
        <v>65</v>
      </c>
      <c r="B66">
        <v>47</v>
      </c>
      <c r="C66">
        <v>49</v>
      </c>
      <c r="D66">
        <v>1.9099999999999999E-2</v>
      </c>
      <c r="E66">
        <v>6.25E-2</v>
      </c>
      <c r="F66">
        <v>1.6039999999999999E-2</v>
      </c>
      <c r="G66">
        <v>500</v>
      </c>
    </row>
    <row r="67" spans="1:7" x14ac:dyDescent="0.35">
      <c r="A67">
        <v>66</v>
      </c>
      <c r="B67">
        <v>42</v>
      </c>
      <c r="C67">
        <v>49</v>
      </c>
      <c r="D67">
        <v>7.1499999999999994E-2</v>
      </c>
      <c r="E67">
        <v>0.32300000000000001</v>
      </c>
      <c r="F67">
        <v>8.5999999999999993E-2</v>
      </c>
      <c r="G67">
        <v>500</v>
      </c>
    </row>
    <row r="68" spans="1:7" x14ac:dyDescent="0.35">
      <c r="A68">
        <v>67</v>
      </c>
      <c r="B68">
        <v>42</v>
      </c>
      <c r="C68">
        <v>49</v>
      </c>
      <c r="D68">
        <v>7.1499999999999994E-2</v>
      </c>
      <c r="E68">
        <v>0.32300000000000001</v>
      </c>
      <c r="F68">
        <v>8.5999999999999993E-2</v>
      </c>
      <c r="G68">
        <v>500</v>
      </c>
    </row>
    <row r="69" spans="1:7" x14ac:dyDescent="0.35">
      <c r="A69">
        <v>68</v>
      </c>
      <c r="B69">
        <v>45</v>
      </c>
      <c r="C69">
        <v>49</v>
      </c>
      <c r="D69">
        <v>6.8400000000000002E-2</v>
      </c>
      <c r="E69">
        <v>0.186</v>
      </c>
      <c r="F69">
        <v>4.4400000000000002E-2</v>
      </c>
      <c r="G69">
        <v>500</v>
      </c>
    </row>
    <row r="70" spans="1:7" x14ac:dyDescent="0.35">
      <c r="A70">
        <v>69</v>
      </c>
      <c r="B70">
        <v>48</v>
      </c>
      <c r="C70">
        <v>49</v>
      </c>
      <c r="D70">
        <v>1.7899999999999999E-2</v>
      </c>
      <c r="E70">
        <v>5.0500000000000003E-2</v>
      </c>
      <c r="F70">
        <v>1.2579999999999999E-2</v>
      </c>
      <c r="G70">
        <v>500</v>
      </c>
    </row>
    <row r="71" spans="1:7" x14ac:dyDescent="0.35">
      <c r="A71">
        <v>70</v>
      </c>
      <c r="B71">
        <v>49</v>
      </c>
      <c r="C71">
        <v>50</v>
      </c>
      <c r="D71">
        <v>2.6700000000000002E-2</v>
      </c>
      <c r="E71">
        <v>7.5200000000000003E-2</v>
      </c>
      <c r="F71">
        <v>1.874E-2</v>
      </c>
      <c r="G71">
        <v>500</v>
      </c>
    </row>
    <row r="72" spans="1:7" x14ac:dyDescent="0.35">
      <c r="A72">
        <v>71</v>
      </c>
      <c r="B72">
        <v>49</v>
      </c>
      <c r="C72">
        <v>51</v>
      </c>
      <c r="D72">
        <v>4.8599999999999997E-2</v>
      </c>
      <c r="E72">
        <v>0.13700000000000001</v>
      </c>
      <c r="F72">
        <v>3.4200000000000001E-2</v>
      </c>
      <c r="G72">
        <v>500</v>
      </c>
    </row>
    <row r="73" spans="1:7" x14ac:dyDescent="0.35">
      <c r="A73">
        <v>72</v>
      </c>
      <c r="B73">
        <v>51</v>
      </c>
      <c r="C73">
        <v>52</v>
      </c>
      <c r="D73">
        <v>2.0299999999999999E-2</v>
      </c>
      <c r="E73">
        <v>5.8799999999999998E-2</v>
      </c>
      <c r="F73">
        <v>1.396E-2</v>
      </c>
      <c r="G73">
        <v>500</v>
      </c>
    </row>
    <row r="74" spans="1:7" x14ac:dyDescent="0.35">
      <c r="A74">
        <v>73</v>
      </c>
      <c r="B74">
        <v>52</v>
      </c>
      <c r="C74">
        <v>53</v>
      </c>
      <c r="D74">
        <v>4.0500000000000001E-2</v>
      </c>
      <c r="E74">
        <v>0.16350000000000001</v>
      </c>
      <c r="F74">
        <v>4.0579999999999998E-2</v>
      </c>
      <c r="G74">
        <v>500</v>
      </c>
    </row>
    <row r="75" spans="1:7" x14ac:dyDescent="0.35">
      <c r="A75">
        <v>74</v>
      </c>
      <c r="B75">
        <v>53</v>
      </c>
      <c r="C75">
        <v>54</v>
      </c>
      <c r="D75">
        <v>2.63E-2</v>
      </c>
      <c r="E75">
        <v>0.122</v>
      </c>
      <c r="F75">
        <v>3.1E-2</v>
      </c>
      <c r="G75">
        <v>500</v>
      </c>
    </row>
    <row r="76" spans="1:7" x14ac:dyDescent="0.35">
      <c r="A76">
        <v>75</v>
      </c>
      <c r="B76">
        <v>49</v>
      </c>
      <c r="C76">
        <v>54</v>
      </c>
      <c r="D76">
        <v>7.2999999999999995E-2</v>
      </c>
      <c r="E76">
        <v>0.28899999999999998</v>
      </c>
      <c r="F76">
        <v>7.3800000000000004E-2</v>
      </c>
      <c r="G76">
        <v>500</v>
      </c>
    </row>
    <row r="77" spans="1:7" x14ac:dyDescent="0.35">
      <c r="A77">
        <v>76</v>
      </c>
      <c r="B77">
        <v>49</v>
      </c>
      <c r="C77">
        <v>54</v>
      </c>
      <c r="D77">
        <v>8.6900000000000005E-2</v>
      </c>
      <c r="E77">
        <v>0.29099999999999998</v>
      </c>
      <c r="F77">
        <v>7.2999999999999995E-2</v>
      </c>
      <c r="G77">
        <v>500</v>
      </c>
    </row>
    <row r="78" spans="1:7" x14ac:dyDescent="0.35">
      <c r="A78">
        <v>77</v>
      </c>
      <c r="B78">
        <v>54</v>
      </c>
      <c r="C78">
        <v>55</v>
      </c>
      <c r="D78">
        <v>1.6899999999999998E-2</v>
      </c>
      <c r="E78">
        <v>7.0699999999999999E-2</v>
      </c>
      <c r="F78">
        <v>2.0199999999999999E-2</v>
      </c>
      <c r="G78">
        <v>500</v>
      </c>
    </row>
    <row r="79" spans="1:7" x14ac:dyDescent="0.35">
      <c r="A79">
        <v>78</v>
      </c>
      <c r="B79">
        <v>54</v>
      </c>
      <c r="C79">
        <v>56</v>
      </c>
      <c r="D79">
        <v>2.7499999999999998E-3</v>
      </c>
      <c r="E79">
        <v>9.5499999999999995E-3</v>
      </c>
      <c r="F79">
        <v>7.3200000000000001E-3</v>
      </c>
      <c r="G79">
        <v>500</v>
      </c>
    </row>
    <row r="80" spans="1:7" x14ac:dyDescent="0.35">
      <c r="A80">
        <v>79</v>
      </c>
      <c r="B80">
        <v>55</v>
      </c>
      <c r="C80">
        <v>56</v>
      </c>
      <c r="D80">
        <v>4.8799999999999998E-3</v>
      </c>
      <c r="E80">
        <v>1.5100000000000001E-2</v>
      </c>
      <c r="F80">
        <v>3.7399999999999998E-3</v>
      </c>
      <c r="G80">
        <v>500</v>
      </c>
    </row>
    <row r="81" spans="1:7" x14ac:dyDescent="0.35">
      <c r="A81">
        <v>80</v>
      </c>
      <c r="B81">
        <v>56</v>
      </c>
      <c r="C81">
        <v>57</v>
      </c>
      <c r="D81">
        <v>3.4299999999999997E-2</v>
      </c>
      <c r="E81">
        <v>9.6600000000000005E-2</v>
      </c>
      <c r="F81">
        <v>2.4199999999999999E-2</v>
      </c>
      <c r="G81">
        <v>500</v>
      </c>
    </row>
    <row r="82" spans="1:7" x14ac:dyDescent="0.35">
      <c r="A82">
        <v>81</v>
      </c>
      <c r="B82">
        <v>50</v>
      </c>
      <c r="C82">
        <v>57</v>
      </c>
      <c r="D82">
        <v>4.7399999999999998E-2</v>
      </c>
      <c r="E82">
        <v>0.13400000000000001</v>
      </c>
      <c r="F82">
        <v>3.32E-2</v>
      </c>
      <c r="G82">
        <v>500</v>
      </c>
    </row>
    <row r="83" spans="1:7" x14ac:dyDescent="0.35">
      <c r="A83">
        <v>82</v>
      </c>
      <c r="B83">
        <v>56</v>
      </c>
      <c r="C83">
        <v>58</v>
      </c>
      <c r="D83">
        <v>3.4299999999999997E-2</v>
      </c>
      <c r="E83">
        <v>9.6600000000000005E-2</v>
      </c>
      <c r="F83">
        <v>2.4199999999999999E-2</v>
      </c>
      <c r="G83">
        <v>500</v>
      </c>
    </row>
    <row r="84" spans="1:7" x14ac:dyDescent="0.35">
      <c r="A84">
        <v>83</v>
      </c>
      <c r="B84">
        <v>51</v>
      </c>
      <c r="C84">
        <v>58</v>
      </c>
      <c r="D84">
        <v>2.5499999999999998E-2</v>
      </c>
      <c r="E84">
        <v>7.1900000000000006E-2</v>
      </c>
      <c r="F84">
        <v>1.788E-2</v>
      </c>
      <c r="G84">
        <v>500</v>
      </c>
    </row>
    <row r="85" spans="1:7" x14ac:dyDescent="0.35">
      <c r="A85">
        <v>84</v>
      </c>
      <c r="B85">
        <v>54</v>
      </c>
      <c r="C85">
        <v>59</v>
      </c>
      <c r="D85">
        <v>5.0299999999999997E-2</v>
      </c>
      <c r="E85">
        <v>0.2293</v>
      </c>
      <c r="F85">
        <v>5.9799999999999999E-2</v>
      </c>
      <c r="G85">
        <v>500</v>
      </c>
    </row>
    <row r="86" spans="1:7" x14ac:dyDescent="0.35">
      <c r="A86">
        <v>85</v>
      </c>
      <c r="B86">
        <v>56</v>
      </c>
      <c r="C86">
        <v>59</v>
      </c>
      <c r="D86">
        <v>8.2500000000000004E-2</v>
      </c>
      <c r="E86">
        <v>0.251</v>
      </c>
      <c r="F86">
        <v>5.6899999999999999E-2</v>
      </c>
      <c r="G86">
        <v>500</v>
      </c>
    </row>
    <row r="87" spans="1:7" x14ac:dyDescent="0.35">
      <c r="A87">
        <v>86</v>
      </c>
      <c r="B87">
        <v>56</v>
      </c>
      <c r="C87">
        <v>59</v>
      </c>
      <c r="D87">
        <v>8.0299999999999996E-2</v>
      </c>
      <c r="E87">
        <v>0.23899999999999999</v>
      </c>
      <c r="F87">
        <v>5.3600000000000002E-2</v>
      </c>
      <c r="G87">
        <v>500</v>
      </c>
    </row>
    <row r="88" spans="1:7" x14ac:dyDescent="0.35">
      <c r="A88">
        <v>87</v>
      </c>
      <c r="B88">
        <v>55</v>
      </c>
      <c r="C88">
        <v>59</v>
      </c>
      <c r="D88">
        <v>4.7390000000000002E-2</v>
      </c>
      <c r="E88">
        <v>0.21579999999999999</v>
      </c>
      <c r="F88">
        <v>5.6460000000000003E-2</v>
      </c>
      <c r="G88">
        <v>500</v>
      </c>
    </row>
    <row r="89" spans="1:7" x14ac:dyDescent="0.35">
      <c r="A89">
        <v>88</v>
      </c>
      <c r="B89">
        <v>59</v>
      </c>
      <c r="C89">
        <v>60</v>
      </c>
      <c r="D89">
        <v>3.1699999999999999E-2</v>
      </c>
      <c r="E89">
        <v>0.14499999999999999</v>
      </c>
      <c r="F89">
        <v>3.7600000000000001E-2</v>
      </c>
      <c r="G89">
        <v>500</v>
      </c>
    </row>
    <row r="90" spans="1:7" x14ac:dyDescent="0.35">
      <c r="A90">
        <v>89</v>
      </c>
      <c r="B90">
        <v>59</v>
      </c>
      <c r="C90">
        <v>61</v>
      </c>
      <c r="D90">
        <v>3.2800000000000003E-2</v>
      </c>
      <c r="E90">
        <v>0.15</v>
      </c>
      <c r="F90">
        <v>3.8800000000000001E-2</v>
      </c>
      <c r="G90">
        <v>500</v>
      </c>
    </row>
    <row r="91" spans="1:7" x14ac:dyDescent="0.35">
      <c r="A91">
        <v>90</v>
      </c>
      <c r="B91">
        <v>60</v>
      </c>
      <c r="C91">
        <v>61</v>
      </c>
      <c r="D91">
        <v>2.64E-3</v>
      </c>
      <c r="E91">
        <v>1.35E-2</v>
      </c>
      <c r="F91">
        <v>1.456E-2</v>
      </c>
      <c r="G91">
        <v>500</v>
      </c>
    </row>
    <row r="92" spans="1:7" x14ac:dyDescent="0.35">
      <c r="A92">
        <v>91</v>
      </c>
      <c r="B92">
        <v>60</v>
      </c>
      <c r="C92">
        <v>62</v>
      </c>
      <c r="D92">
        <v>1.23E-2</v>
      </c>
      <c r="E92">
        <v>5.6099999999999997E-2</v>
      </c>
      <c r="F92">
        <v>1.468E-2</v>
      </c>
      <c r="G92">
        <v>500</v>
      </c>
    </row>
    <row r="93" spans="1:7" x14ac:dyDescent="0.35">
      <c r="A93">
        <v>92</v>
      </c>
      <c r="B93">
        <v>61</v>
      </c>
      <c r="C93">
        <v>62</v>
      </c>
      <c r="D93">
        <v>8.2400000000000008E-3</v>
      </c>
      <c r="E93">
        <v>3.7600000000000001E-2</v>
      </c>
      <c r="F93">
        <v>9.7999999999999997E-3</v>
      </c>
      <c r="G93">
        <v>500</v>
      </c>
    </row>
    <row r="94" spans="1:7" x14ac:dyDescent="0.35">
      <c r="A94">
        <v>93</v>
      </c>
      <c r="B94">
        <v>63</v>
      </c>
      <c r="C94">
        <v>59</v>
      </c>
      <c r="D94">
        <v>0</v>
      </c>
      <c r="E94">
        <v>3.8600000000000002E-2</v>
      </c>
      <c r="F94">
        <v>0</v>
      </c>
      <c r="G94">
        <v>500</v>
      </c>
    </row>
    <row r="95" spans="1:7" x14ac:dyDescent="0.35">
      <c r="A95">
        <v>94</v>
      </c>
      <c r="B95">
        <v>63</v>
      </c>
      <c r="C95">
        <v>64</v>
      </c>
      <c r="D95">
        <v>1.72E-3</v>
      </c>
      <c r="E95">
        <v>0.02</v>
      </c>
      <c r="F95">
        <v>0.216</v>
      </c>
      <c r="G95">
        <v>500</v>
      </c>
    </row>
    <row r="96" spans="1:7" x14ac:dyDescent="0.35">
      <c r="A96">
        <v>95</v>
      </c>
      <c r="B96">
        <v>64</v>
      </c>
      <c r="C96">
        <v>61</v>
      </c>
      <c r="D96">
        <v>0</v>
      </c>
      <c r="E96">
        <v>2.6800000000000001E-2</v>
      </c>
      <c r="F96">
        <v>0</v>
      </c>
      <c r="G96">
        <v>500</v>
      </c>
    </row>
    <row r="97" spans="1:7" x14ac:dyDescent="0.35">
      <c r="A97">
        <v>96</v>
      </c>
      <c r="B97">
        <v>38</v>
      </c>
      <c r="C97">
        <v>65</v>
      </c>
      <c r="D97">
        <v>9.0100000000000006E-3</v>
      </c>
      <c r="E97">
        <v>9.8599999999999993E-2</v>
      </c>
      <c r="F97">
        <v>1.046</v>
      </c>
      <c r="G97">
        <v>500</v>
      </c>
    </row>
    <row r="98" spans="1:7" x14ac:dyDescent="0.35">
      <c r="A98">
        <v>97</v>
      </c>
      <c r="B98">
        <v>64</v>
      </c>
      <c r="C98">
        <v>65</v>
      </c>
      <c r="D98">
        <v>2.6900000000000001E-3</v>
      </c>
      <c r="E98">
        <v>3.0200000000000001E-2</v>
      </c>
      <c r="F98">
        <v>0.38</v>
      </c>
      <c r="G98">
        <v>400</v>
      </c>
    </row>
    <row r="99" spans="1:7" x14ac:dyDescent="0.35">
      <c r="A99">
        <v>98</v>
      </c>
      <c r="B99">
        <v>49</v>
      </c>
      <c r="C99">
        <v>66</v>
      </c>
      <c r="D99">
        <v>1.7999999999999999E-2</v>
      </c>
      <c r="E99">
        <v>9.1899999999999996E-2</v>
      </c>
      <c r="F99">
        <v>2.4799999999999999E-2</v>
      </c>
      <c r="G99">
        <v>500</v>
      </c>
    </row>
    <row r="100" spans="1:7" x14ac:dyDescent="0.35">
      <c r="A100">
        <v>99</v>
      </c>
      <c r="B100">
        <v>49</v>
      </c>
      <c r="C100">
        <v>66</v>
      </c>
      <c r="D100">
        <v>1.7999999999999999E-2</v>
      </c>
      <c r="E100">
        <v>9.1899999999999996E-2</v>
      </c>
      <c r="F100">
        <v>2.4799999999999999E-2</v>
      </c>
      <c r="G100">
        <v>500</v>
      </c>
    </row>
    <row r="101" spans="1:7" x14ac:dyDescent="0.35">
      <c r="A101">
        <v>100</v>
      </c>
      <c r="B101">
        <v>62</v>
      </c>
      <c r="C101">
        <v>66</v>
      </c>
      <c r="D101">
        <v>4.82E-2</v>
      </c>
      <c r="E101">
        <v>0.218</v>
      </c>
      <c r="F101">
        <v>5.7799999999999997E-2</v>
      </c>
      <c r="G101">
        <v>500</v>
      </c>
    </row>
    <row r="102" spans="1:7" x14ac:dyDescent="0.35">
      <c r="A102">
        <v>101</v>
      </c>
      <c r="B102">
        <v>62</v>
      </c>
      <c r="C102">
        <v>67</v>
      </c>
      <c r="D102">
        <v>2.58E-2</v>
      </c>
      <c r="E102">
        <v>0.11700000000000001</v>
      </c>
      <c r="F102">
        <v>3.1E-2</v>
      </c>
      <c r="G102">
        <v>500</v>
      </c>
    </row>
    <row r="103" spans="1:7" x14ac:dyDescent="0.35">
      <c r="A103">
        <v>102</v>
      </c>
      <c r="B103">
        <v>65</v>
      </c>
      <c r="C103">
        <v>66</v>
      </c>
      <c r="D103">
        <v>0</v>
      </c>
      <c r="E103">
        <v>3.6999999999999998E-2</v>
      </c>
      <c r="F103">
        <v>0</v>
      </c>
      <c r="G103">
        <v>500</v>
      </c>
    </row>
    <row r="104" spans="1:7" x14ac:dyDescent="0.35">
      <c r="A104">
        <v>103</v>
      </c>
      <c r="B104">
        <v>66</v>
      </c>
      <c r="C104">
        <v>67</v>
      </c>
      <c r="D104">
        <v>2.24E-2</v>
      </c>
      <c r="E104">
        <v>0.10150000000000001</v>
      </c>
      <c r="F104">
        <v>2.682E-2</v>
      </c>
      <c r="G104">
        <v>500</v>
      </c>
    </row>
    <row r="105" spans="1:7" x14ac:dyDescent="0.35">
      <c r="A105">
        <v>104</v>
      </c>
      <c r="B105">
        <v>65</v>
      </c>
      <c r="C105">
        <v>68</v>
      </c>
      <c r="D105">
        <v>1.3799999999999999E-3</v>
      </c>
      <c r="E105">
        <v>1.6E-2</v>
      </c>
      <c r="F105">
        <v>0.63800000000000001</v>
      </c>
      <c r="G105">
        <v>400</v>
      </c>
    </row>
    <row r="106" spans="1:7" x14ac:dyDescent="0.35">
      <c r="A106">
        <v>105</v>
      </c>
      <c r="B106">
        <v>47</v>
      </c>
      <c r="C106">
        <v>69</v>
      </c>
      <c r="D106">
        <v>8.4400000000000003E-2</v>
      </c>
      <c r="E106">
        <v>0.27779999999999999</v>
      </c>
      <c r="F106">
        <v>7.0919999999999997E-2</v>
      </c>
      <c r="G106">
        <v>500</v>
      </c>
    </row>
    <row r="107" spans="1:7" x14ac:dyDescent="0.35">
      <c r="A107">
        <v>106</v>
      </c>
      <c r="B107">
        <v>49</v>
      </c>
      <c r="C107">
        <v>69</v>
      </c>
      <c r="D107">
        <v>9.8500000000000004E-2</v>
      </c>
      <c r="E107">
        <v>0.32400000000000001</v>
      </c>
      <c r="F107">
        <v>8.2799999999999999E-2</v>
      </c>
      <c r="G107">
        <v>500</v>
      </c>
    </row>
    <row r="108" spans="1:7" x14ac:dyDescent="0.35">
      <c r="A108">
        <v>107</v>
      </c>
      <c r="B108">
        <v>68</v>
      </c>
      <c r="C108">
        <v>69</v>
      </c>
      <c r="D108">
        <v>0</v>
      </c>
      <c r="E108">
        <v>3.6999999999999998E-2</v>
      </c>
      <c r="F108">
        <v>0</v>
      </c>
      <c r="G108">
        <v>400</v>
      </c>
    </row>
    <row r="109" spans="1:7" x14ac:dyDescent="0.35">
      <c r="A109">
        <v>108</v>
      </c>
      <c r="B109">
        <v>69</v>
      </c>
      <c r="C109">
        <v>70</v>
      </c>
      <c r="D109">
        <v>0.03</v>
      </c>
      <c r="E109">
        <v>0.127</v>
      </c>
      <c r="F109">
        <v>0.122</v>
      </c>
      <c r="G109">
        <v>500</v>
      </c>
    </row>
    <row r="110" spans="1:7" x14ac:dyDescent="0.35">
      <c r="A110">
        <v>109</v>
      </c>
      <c r="B110">
        <v>24</v>
      </c>
      <c r="C110">
        <v>70</v>
      </c>
      <c r="D110">
        <v>2.2100000000000002E-3</v>
      </c>
      <c r="E110">
        <v>0.41149999999999998</v>
      </c>
      <c r="F110">
        <v>0.10198</v>
      </c>
      <c r="G110">
        <v>500</v>
      </c>
    </row>
    <row r="111" spans="1:7" x14ac:dyDescent="0.35">
      <c r="A111">
        <v>110</v>
      </c>
      <c r="B111">
        <v>70</v>
      </c>
      <c r="C111">
        <v>71</v>
      </c>
      <c r="D111">
        <v>8.8199999999999997E-3</v>
      </c>
      <c r="E111">
        <v>3.5499999999999997E-2</v>
      </c>
      <c r="F111">
        <v>8.7799999999999996E-3</v>
      </c>
      <c r="G111">
        <v>500</v>
      </c>
    </row>
    <row r="112" spans="1:7" x14ac:dyDescent="0.35">
      <c r="A112">
        <v>111</v>
      </c>
      <c r="B112">
        <v>24</v>
      </c>
      <c r="C112">
        <v>72</v>
      </c>
      <c r="D112">
        <v>4.8800000000000003E-2</v>
      </c>
      <c r="E112">
        <v>0.19600000000000001</v>
      </c>
      <c r="F112">
        <v>4.8800000000000003E-2</v>
      </c>
      <c r="G112">
        <v>500</v>
      </c>
    </row>
    <row r="113" spans="1:7" x14ac:dyDescent="0.35">
      <c r="A113">
        <v>112</v>
      </c>
      <c r="B113">
        <v>71</v>
      </c>
      <c r="C113">
        <v>72</v>
      </c>
      <c r="D113">
        <v>4.4600000000000001E-2</v>
      </c>
      <c r="E113">
        <v>0.18</v>
      </c>
      <c r="F113">
        <v>4.444E-2</v>
      </c>
      <c r="G113">
        <v>500</v>
      </c>
    </row>
    <row r="114" spans="1:7" x14ac:dyDescent="0.35">
      <c r="A114">
        <v>113</v>
      </c>
      <c r="B114">
        <v>71</v>
      </c>
      <c r="C114">
        <v>73</v>
      </c>
      <c r="D114">
        <v>8.6599999999999993E-3</v>
      </c>
      <c r="E114">
        <v>4.5400000000000003E-2</v>
      </c>
      <c r="F114">
        <v>1.1780000000000001E-2</v>
      </c>
      <c r="G114">
        <v>500</v>
      </c>
    </row>
    <row r="115" spans="1:7" x14ac:dyDescent="0.35">
      <c r="A115">
        <v>114</v>
      </c>
      <c r="B115">
        <v>70</v>
      </c>
      <c r="C115">
        <v>74</v>
      </c>
      <c r="D115">
        <v>4.0099999999999997E-2</v>
      </c>
      <c r="E115">
        <v>0.1323</v>
      </c>
      <c r="F115">
        <v>3.3680000000000002E-2</v>
      </c>
      <c r="G115">
        <v>500</v>
      </c>
    </row>
    <row r="116" spans="1:7" x14ac:dyDescent="0.35">
      <c r="A116">
        <v>115</v>
      </c>
      <c r="B116">
        <v>70</v>
      </c>
      <c r="C116">
        <v>75</v>
      </c>
      <c r="D116">
        <v>4.2799999999999998E-2</v>
      </c>
      <c r="E116">
        <v>0.14099999999999999</v>
      </c>
      <c r="F116">
        <v>3.5999999999999997E-2</v>
      </c>
      <c r="G116">
        <v>500</v>
      </c>
    </row>
    <row r="117" spans="1:7" x14ac:dyDescent="0.35">
      <c r="A117">
        <v>116</v>
      </c>
      <c r="B117">
        <v>69</v>
      </c>
      <c r="C117">
        <v>75</v>
      </c>
      <c r="D117">
        <v>4.0500000000000001E-2</v>
      </c>
      <c r="E117">
        <v>0.122</v>
      </c>
      <c r="F117">
        <v>0.124</v>
      </c>
      <c r="G117">
        <v>500</v>
      </c>
    </row>
    <row r="118" spans="1:7" x14ac:dyDescent="0.35">
      <c r="A118">
        <v>117</v>
      </c>
      <c r="B118">
        <v>74</v>
      </c>
      <c r="C118">
        <v>75</v>
      </c>
      <c r="D118">
        <v>1.23E-2</v>
      </c>
      <c r="E118">
        <v>4.0599999999999997E-2</v>
      </c>
      <c r="F118">
        <v>1.034E-2</v>
      </c>
      <c r="G118">
        <v>500</v>
      </c>
    </row>
    <row r="119" spans="1:7" x14ac:dyDescent="0.35">
      <c r="A119">
        <v>118</v>
      </c>
      <c r="B119">
        <v>76</v>
      </c>
      <c r="C119">
        <v>77</v>
      </c>
      <c r="D119">
        <v>4.4400000000000002E-2</v>
      </c>
      <c r="E119">
        <v>0.14799999999999999</v>
      </c>
      <c r="F119">
        <v>3.6799999999999999E-2</v>
      </c>
      <c r="G119">
        <v>500</v>
      </c>
    </row>
    <row r="120" spans="1:7" x14ac:dyDescent="0.35">
      <c r="A120">
        <v>119</v>
      </c>
      <c r="B120">
        <v>69</v>
      </c>
      <c r="C120">
        <v>77</v>
      </c>
      <c r="D120">
        <v>3.09E-2</v>
      </c>
      <c r="E120">
        <v>0.10100000000000001</v>
      </c>
      <c r="F120">
        <v>0.1038</v>
      </c>
      <c r="G120">
        <v>500</v>
      </c>
    </row>
    <row r="121" spans="1:7" x14ac:dyDescent="0.35">
      <c r="A121">
        <v>120</v>
      </c>
      <c r="B121">
        <v>75</v>
      </c>
      <c r="C121">
        <v>77</v>
      </c>
      <c r="D121">
        <v>6.0100000000000001E-2</v>
      </c>
      <c r="E121">
        <v>0.19989999999999999</v>
      </c>
      <c r="F121">
        <v>4.9779999999999998E-2</v>
      </c>
      <c r="G121">
        <v>500</v>
      </c>
    </row>
    <row r="122" spans="1:7" x14ac:dyDescent="0.35">
      <c r="A122">
        <v>121</v>
      </c>
      <c r="B122">
        <v>77</v>
      </c>
      <c r="C122">
        <v>78</v>
      </c>
      <c r="D122">
        <v>3.7599999999999999E-3</v>
      </c>
      <c r="E122">
        <v>1.24E-2</v>
      </c>
      <c r="F122">
        <v>1.264E-2</v>
      </c>
      <c r="G122">
        <v>500</v>
      </c>
    </row>
    <row r="123" spans="1:7" x14ac:dyDescent="0.35">
      <c r="A123">
        <v>122</v>
      </c>
      <c r="B123">
        <v>78</v>
      </c>
      <c r="C123">
        <v>79</v>
      </c>
      <c r="D123">
        <v>5.4599999999999996E-3</v>
      </c>
      <c r="E123">
        <v>2.4400000000000002E-2</v>
      </c>
      <c r="F123">
        <v>6.4799999999999996E-3</v>
      </c>
      <c r="G123">
        <v>500</v>
      </c>
    </row>
    <row r="124" spans="1:7" x14ac:dyDescent="0.35">
      <c r="A124">
        <v>123</v>
      </c>
      <c r="B124">
        <v>77</v>
      </c>
      <c r="C124">
        <v>80</v>
      </c>
      <c r="D124">
        <v>1.7000000000000001E-2</v>
      </c>
      <c r="E124">
        <v>4.8500000000000001E-2</v>
      </c>
      <c r="F124">
        <v>4.7199999999999999E-2</v>
      </c>
      <c r="G124">
        <v>500</v>
      </c>
    </row>
    <row r="125" spans="1:7" x14ac:dyDescent="0.35">
      <c r="A125">
        <v>124</v>
      </c>
      <c r="B125">
        <v>77</v>
      </c>
      <c r="C125">
        <v>80</v>
      </c>
      <c r="D125">
        <v>2.9399999999999999E-2</v>
      </c>
      <c r="E125">
        <v>0.105</v>
      </c>
      <c r="F125">
        <v>2.2800000000000001E-2</v>
      </c>
      <c r="G125">
        <v>500</v>
      </c>
    </row>
    <row r="126" spans="1:7" x14ac:dyDescent="0.35">
      <c r="A126">
        <v>125</v>
      </c>
      <c r="B126">
        <v>79</v>
      </c>
      <c r="C126">
        <v>80</v>
      </c>
      <c r="D126">
        <v>1.5599999999999999E-2</v>
      </c>
      <c r="E126">
        <v>7.0400000000000004E-2</v>
      </c>
      <c r="F126">
        <v>1.8700000000000001E-2</v>
      </c>
      <c r="G126">
        <v>500</v>
      </c>
    </row>
    <row r="127" spans="1:7" x14ac:dyDescent="0.35">
      <c r="A127">
        <v>126</v>
      </c>
      <c r="B127">
        <v>68</v>
      </c>
      <c r="C127">
        <v>81</v>
      </c>
      <c r="D127">
        <v>1.75E-3</v>
      </c>
      <c r="E127">
        <v>2.0199999999999999E-2</v>
      </c>
      <c r="F127">
        <v>0.80800000000000005</v>
      </c>
      <c r="G127">
        <v>500</v>
      </c>
    </row>
    <row r="128" spans="1:7" x14ac:dyDescent="0.35">
      <c r="A128">
        <v>127</v>
      </c>
      <c r="B128">
        <v>81</v>
      </c>
      <c r="C128">
        <v>80</v>
      </c>
      <c r="D128">
        <v>0</v>
      </c>
      <c r="E128">
        <v>3.6999999999999998E-2</v>
      </c>
      <c r="F128">
        <v>0</v>
      </c>
      <c r="G128">
        <v>500</v>
      </c>
    </row>
    <row r="129" spans="1:7" x14ac:dyDescent="0.35">
      <c r="A129">
        <v>128</v>
      </c>
      <c r="B129">
        <v>77</v>
      </c>
      <c r="C129">
        <v>82</v>
      </c>
      <c r="D129">
        <v>2.98E-2</v>
      </c>
      <c r="E129">
        <v>8.5300000000000001E-2</v>
      </c>
      <c r="F129">
        <v>8.1739999999999993E-2</v>
      </c>
      <c r="G129">
        <v>500</v>
      </c>
    </row>
    <row r="130" spans="1:7" x14ac:dyDescent="0.35">
      <c r="A130">
        <v>129</v>
      </c>
      <c r="B130">
        <v>82</v>
      </c>
      <c r="C130">
        <v>83</v>
      </c>
      <c r="D130">
        <v>1.12E-2</v>
      </c>
      <c r="E130">
        <v>3.6650000000000002E-2</v>
      </c>
      <c r="F130">
        <v>3.7960000000000001E-2</v>
      </c>
      <c r="G130">
        <v>500</v>
      </c>
    </row>
    <row r="131" spans="1:7" x14ac:dyDescent="0.35">
      <c r="A131">
        <v>130</v>
      </c>
      <c r="B131">
        <v>83</v>
      </c>
      <c r="C131">
        <v>84</v>
      </c>
      <c r="D131">
        <v>6.25E-2</v>
      </c>
      <c r="E131">
        <v>0.13200000000000001</v>
      </c>
      <c r="F131">
        <v>2.58E-2</v>
      </c>
      <c r="G131">
        <v>500</v>
      </c>
    </row>
    <row r="132" spans="1:7" x14ac:dyDescent="0.35">
      <c r="A132">
        <v>131</v>
      </c>
      <c r="B132">
        <v>83</v>
      </c>
      <c r="C132">
        <v>85</v>
      </c>
      <c r="D132">
        <v>4.2999999999999997E-2</v>
      </c>
      <c r="E132">
        <v>0.14799999999999999</v>
      </c>
      <c r="F132">
        <v>3.4799999999999998E-2</v>
      </c>
      <c r="G132">
        <v>500</v>
      </c>
    </row>
    <row r="133" spans="1:7" x14ac:dyDescent="0.35">
      <c r="A133">
        <v>132</v>
      </c>
      <c r="B133">
        <v>84</v>
      </c>
      <c r="C133">
        <v>85</v>
      </c>
      <c r="D133">
        <v>3.0200000000000001E-2</v>
      </c>
      <c r="E133">
        <v>6.4100000000000004E-2</v>
      </c>
      <c r="F133">
        <v>1.234E-2</v>
      </c>
      <c r="G133">
        <v>500</v>
      </c>
    </row>
    <row r="134" spans="1:7" x14ac:dyDescent="0.35">
      <c r="A134">
        <v>133</v>
      </c>
      <c r="B134">
        <v>85</v>
      </c>
      <c r="C134">
        <v>86</v>
      </c>
      <c r="D134">
        <v>3.5000000000000003E-2</v>
      </c>
      <c r="E134">
        <v>0.123</v>
      </c>
      <c r="F134">
        <v>2.76E-2</v>
      </c>
      <c r="G134">
        <v>500</v>
      </c>
    </row>
    <row r="135" spans="1:7" x14ac:dyDescent="0.35">
      <c r="A135">
        <v>134</v>
      </c>
      <c r="B135">
        <v>86</v>
      </c>
      <c r="C135">
        <v>87</v>
      </c>
      <c r="D135">
        <v>2.828E-2</v>
      </c>
      <c r="E135">
        <v>0.2074</v>
      </c>
      <c r="F135">
        <v>4.4499999999999998E-2</v>
      </c>
      <c r="G135">
        <v>500</v>
      </c>
    </row>
    <row r="136" spans="1:7" x14ac:dyDescent="0.35">
      <c r="A136">
        <v>135</v>
      </c>
      <c r="B136">
        <v>85</v>
      </c>
      <c r="C136">
        <v>88</v>
      </c>
      <c r="D136">
        <v>0.02</v>
      </c>
      <c r="E136">
        <v>0.10199999999999999</v>
      </c>
      <c r="F136">
        <v>2.76E-2</v>
      </c>
      <c r="G136">
        <v>500</v>
      </c>
    </row>
    <row r="137" spans="1:7" x14ac:dyDescent="0.35">
      <c r="A137">
        <v>136</v>
      </c>
      <c r="B137">
        <v>85</v>
      </c>
      <c r="C137">
        <v>89</v>
      </c>
      <c r="D137">
        <v>2.3900000000000001E-2</v>
      </c>
      <c r="E137">
        <v>0.17299999999999999</v>
      </c>
      <c r="F137">
        <v>4.7E-2</v>
      </c>
      <c r="G137">
        <v>500</v>
      </c>
    </row>
    <row r="138" spans="1:7" x14ac:dyDescent="0.35">
      <c r="A138">
        <v>137</v>
      </c>
      <c r="B138">
        <v>88</v>
      </c>
      <c r="C138">
        <v>89</v>
      </c>
      <c r="D138">
        <v>1.3899999999999999E-2</v>
      </c>
      <c r="E138">
        <v>7.1199999999999999E-2</v>
      </c>
      <c r="F138">
        <v>1.934E-2</v>
      </c>
      <c r="G138">
        <v>500</v>
      </c>
    </row>
    <row r="139" spans="1:7" x14ac:dyDescent="0.35">
      <c r="A139">
        <v>138</v>
      </c>
      <c r="B139">
        <v>89</v>
      </c>
      <c r="C139">
        <v>90</v>
      </c>
      <c r="D139">
        <v>5.1799999999999999E-2</v>
      </c>
      <c r="E139">
        <v>0.188</v>
      </c>
      <c r="F139">
        <v>5.28E-2</v>
      </c>
      <c r="G139">
        <v>500</v>
      </c>
    </row>
    <row r="140" spans="1:7" x14ac:dyDescent="0.35">
      <c r="A140">
        <v>139</v>
      </c>
      <c r="B140">
        <v>89</v>
      </c>
      <c r="C140">
        <v>90</v>
      </c>
      <c r="D140">
        <v>2.3800000000000002E-2</v>
      </c>
      <c r="E140">
        <v>9.9699999999999997E-2</v>
      </c>
      <c r="F140">
        <v>0.106</v>
      </c>
      <c r="G140">
        <v>500</v>
      </c>
    </row>
    <row r="141" spans="1:7" x14ac:dyDescent="0.35">
      <c r="A141">
        <v>140</v>
      </c>
      <c r="B141">
        <v>90</v>
      </c>
      <c r="C141">
        <v>91</v>
      </c>
      <c r="D141">
        <v>2.5399999999999999E-2</v>
      </c>
      <c r="E141">
        <v>8.3599999999999994E-2</v>
      </c>
      <c r="F141">
        <v>2.1399999999999999E-2</v>
      </c>
      <c r="G141">
        <v>500</v>
      </c>
    </row>
    <row r="142" spans="1:7" x14ac:dyDescent="0.35">
      <c r="A142">
        <v>141</v>
      </c>
      <c r="B142">
        <v>89</v>
      </c>
      <c r="C142">
        <v>92</v>
      </c>
      <c r="D142">
        <v>9.9000000000000008E-3</v>
      </c>
      <c r="E142">
        <v>5.0500000000000003E-2</v>
      </c>
      <c r="F142">
        <v>5.4800000000000001E-2</v>
      </c>
      <c r="G142">
        <v>500</v>
      </c>
    </row>
    <row r="143" spans="1:7" x14ac:dyDescent="0.35">
      <c r="A143">
        <v>142</v>
      </c>
      <c r="B143">
        <v>89</v>
      </c>
      <c r="C143">
        <v>92</v>
      </c>
      <c r="D143">
        <v>3.9300000000000002E-2</v>
      </c>
      <c r="E143">
        <v>0.15809999999999999</v>
      </c>
      <c r="F143">
        <v>4.1399999999999999E-2</v>
      </c>
      <c r="G143">
        <v>500</v>
      </c>
    </row>
    <row r="144" spans="1:7" x14ac:dyDescent="0.35">
      <c r="A144">
        <v>143</v>
      </c>
      <c r="B144">
        <v>91</v>
      </c>
      <c r="C144">
        <v>92</v>
      </c>
      <c r="D144">
        <v>3.8699999999999998E-2</v>
      </c>
      <c r="E144">
        <v>0.12720000000000001</v>
      </c>
      <c r="F144">
        <v>3.2680000000000001E-2</v>
      </c>
      <c r="G144">
        <v>500</v>
      </c>
    </row>
    <row r="145" spans="1:7" x14ac:dyDescent="0.35">
      <c r="A145">
        <v>144</v>
      </c>
      <c r="B145">
        <v>92</v>
      </c>
      <c r="C145">
        <v>93</v>
      </c>
      <c r="D145">
        <v>2.58E-2</v>
      </c>
      <c r="E145">
        <v>8.48E-2</v>
      </c>
      <c r="F145">
        <v>2.18E-2</v>
      </c>
      <c r="G145">
        <v>500</v>
      </c>
    </row>
    <row r="146" spans="1:7" x14ac:dyDescent="0.35">
      <c r="A146">
        <v>145</v>
      </c>
      <c r="B146">
        <v>92</v>
      </c>
      <c r="C146">
        <v>94</v>
      </c>
      <c r="D146">
        <v>4.8099999999999997E-2</v>
      </c>
      <c r="E146">
        <v>0.158</v>
      </c>
      <c r="F146">
        <v>4.0599999999999997E-2</v>
      </c>
      <c r="G146">
        <v>500</v>
      </c>
    </row>
    <row r="147" spans="1:7" x14ac:dyDescent="0.35">
      <c r="A147">
        <v>146</v>
      </c>
      <c r="B147">
        <v>93</v>
      </c>
      <c r="C147">
        <v>94</v>
      </c>
      <c r="D147">
        <v>2.23E-2</v>
      </c>
      <c r="E147">
        <v>7.3200000000000001E-2</v>
      </c>
      <c r="F147">
        <v>1.8759999999999999E-2</v>
      </c>
      <c r="G147">
        <v>500</v>
      </c>
    </row>
    <row r="148" spans="1:7" x14ac:dyDescent="0.35">
      <c r="A148">
        <v>147</v>
      </c>
      <c r="B148">
        <v>94</v>
      </c>
      <c r="C148">
        <v>95</v>
      </c>
      <c r="D148">
        <v>1.32E-2</v>
      </c>
      <c r="E148">
        <v>4.3400000000000001E-2</v>
      </c>
      <c r="F148">
        <v>1.11E-2</v>
      </c>
      <c r="G148">
        <v>500</v>
      </c>
    </row>
    <row r="149" spans="1:7" x14ac:dyDescent="0.35">
      <c r="A149">
        <v>148</v>
      </c>
      <c r="B149">
        <v>80</v>
      </c>
      <c r="C149">
        <v>96</v>
      </c>
      <c r="D149">
        <v>3.56E-2</v>
      </c>
      <c r="E149">
        <v>0.182</v>
      </c>
      <c r="F149">
        <v>4.9399999999999999E-2</v>
      </c>
      <c r="G149">
        <v>500</v>
      </c>
    </row>
    <row r="150" spans="1:7" x14ac:dyDescent="0.35">
      <c r="A150">
        <v>149</v>
      </c>
      <c r="B150">
        <v>82</v>
      </c>
      <c r="C150">
        <v>96</v>
      </c>
      <c r="D150">
        <v>1.6199999999999999E-2</v>
      </c>
      <c r="E150">
        <v>5.2999999999999999E-2</v>
      </c>
      <c r="F150">
        <v>5.4399999999999997E-2</v>
      </c>
      <c r="G150">
        <v>500</v>
      </c>
    </row>
    <row r="151" spans="1:7" x14ac:dyDescent="0.35">
      <c r="A151">
        <v>150</v>
      </c>
      <c r="B151">
        <v>94</v>
      </c>
      <c r="C151">
        <v>96</v>
      </c>
      <c r="D151">
        <v>2.69E-2</v>
      </c>
      <c r="E151">
        <v>8.6900000000000005E-2</v>
      </c>
      <c r="F151">
        <v>2.3E-2</v>
      </c>
      <c r="G151">
        <v>500</v>
      </c>
    </row>
    <row r="152" spans="1:7" x14ac:dyDescent="0.35">
      <c r="A152">
        <v>151</v>
      </c>
      <c r="B152">
        <v>80</v>
      </c>
      <c r="C152">
        <v>97</v>
      </c>
      <c r="D152">
        <v>1.83E-2</v>
      </c>
      <c r="E152">
        <v>9.3399999999999997E-2</v>
      </c>
      <c r="F152">
        <v>2.5399999999999999E-2</v>
      </c>
      <c r="G152">
        <v>500</v>
      </c>
    </row>
    <row r="153" spans="1:7" x14ac:dyDescent="0.35">
      <c r="A153">
        <v>152</v>
      </c>
      <c r="B153">
        <v>80</v>
      </c>
      <c r="C153">
        <v>98</v>
      </c>
      <c r="D153">
        <v>2.3800000000000002E-2</v>
      </c>
      <c r="E153">
        <v>0.108</v>
      </c>
      <c r="F153">
        <v>2.86E-2</v>
      </c>
      <c r="G153">
        <v>500</v>
      </c>
    </row>
    <row r="154" spans="1:7" x14ac:dyDescent="0.35">
      <c r="A154">
        <v>153</v>
      </c>
      <c r="B154">
        <v>80</v>
      </c>
      <c r="C154">
        <v>99</v>
      </c>
      <c r="D154">
        <v>4.5400000000000003E-2</v>
      </c>
      <c r="E154">
        <v>0.20599999999999999</v>
      </c>
      <c r="F154">
        <v>5.4600000000000003E-2</v>
      </c>
      <c r="G154">
        <v>500</v>
      </c>
    </row>
    <row r="155" spans="1:7" x14ac:dyDescent="0.35">
      <c r="A155">
        <v>154</v>
      </c>
      <c r="B155">
        <v>92</v>
      </c>
      <c r="C155">
        <v>100</v>
      </c>
      <c r="D155">
        <v>6.4799999999999996E-2</v>
      </c>
      <c r="E155">
        <v>0.29499999999999998</v>
      </c>
      <c r="F155">
        <v>4.7199999999999999E-2</v>
      </c>
      <c r="G155">
        <v>500</v>
      </c>
    </row>
    <row r="156" spans="1:7" x14ac:dyDescent="0.35">
      <c r="A156">
        <v>155</v>
      </c>
      <c r="B156">
        <v>94</v>
      </c>
      <c r="C156">
        <v>100</v>
      </c>
      <c r="D156">
        <v>1.78E-2</v>
      </c>
      <c r="E156">
        <v>5.8000000000000003E-2</v>
      </c>
      <c r="F156">
        <v>6.0400000000000002E-2</v>
      </c>
      <c r="G156">
        <v>500</v>
      </c>
    </row>
    <row r="157" spans="1:7" x14ac:dyDescent="0.35">
      <c r="A157">
        <v>156</v>
      </c>
      <c r="B157">
        <v>95</v>
      </c>
      <c r="C157">
        <v>96</v>
      </c>
      <c r="D157">
        <v>1.7100000000000001E-2</v>
      </c>
      <c r="E157">
        <v>5.4699999999999999E-2</v>
      </c>
      <c r="F157">
        <v>1.474E-2</v>
      </c>
      <c r="G157">
        <v>500</v>
      </c>
    </row>
    <row r="158" spans="1:7" x14ac:dyDescent="0.35">
      <c r="A158">
        <v>157</v>
      </c>
      <c r="B158">
        <v>96</v>
      </c>
      <c r="C158">
        <v>97</v>
      </c>
      <c r="D158">
        <v>1.7299999999999999E-2</v>
      </c>
      <c r="E158">
        <v>8.8499999999999995E-2</v>
      </c>
      <c r="F158">
        <v>2.4E-2</v>
      </c>
      <c r="G158">
        <v>500</v>
      </c>
    </row>
    <row r="159" spans="1:7" x14ac:dyDescent="0.35">
      <c r="A159">
        <v>158</v>
      </c>
      <c r="B159">
        <v>98</v>
      </c>
      <c r="C159">
        <v>100</v>
      </c>
      <c r="D159">
        <v>3.9699999999999999E-2</v>
      </c>
      <c r="E159">
        <v>0.17899999999999999</v>
      </c>
      <c r="F159">
        <v>4.7600000000000003E-2</v>
      </c>
      <c r="G159">
        <v>500</v>
      </c>
    </row>
    <row r="160" spans="1:7" x14ac:dyDescent="0.35">
      <c r="A160">
        <v>159</v>
      </c>
      <c r="B160">
        <v>99</v>
      </c>
      <c r="C160">
        <v>100</v>
      </c>
      <c r="D160">
        <v>1.7999999999999999E-2</v>
      </c>
      <c r="E160">
        <v>8.1299999999999997E-2</v>
      </c>
      <c r="F160">
        <v>2.1600000000000001E-2</v>
      </c>
      <c r="G160">
        <v>500</v>
      </c>
    </row>
    <row r="161" spans="1:7" x14ac:dyDescent="0.35">
      <c r="A161">
        <v>160</v>
      </c>
      <c r="B161">
        <v>100</v>
      </c>
      <c r="C161">
        <v>101</v>
      </c>
      <c r="D161">
        <v>2.7699999999999999E-2</v>
      </c>
      <c r="E161">
        <v>0.12620000000000001</v>
      </c>
      <c r="F161">
        <v>3.2800000000000003E-2</v>
      </c>
      <c r="G161">
        <v>500</v>
      </c>
    </row>
    <row r="162" spans="1:7" x14ac:dyDescent="0.35">
      <c r="A162">
        <v>161</v>
      </c>
      <c r="B162">
        <v>92</v>
      </c>
      <c r="C162">
        <v>102</v>
      </c>
      <c r="D162">
        <v>1.23E-2</v>
      </c>
      <c r="E162">
        <v>5.5899999999999998E-2</v>
      </c>
      <c r="F162">
        <v>1.464E-2</v>
      </c>
      <c r="G162">
        <v>500</v>
      </c>
    </row>
    <row r="163" spans="1:7" x14ac:dyDescent="0.35">
      <c r="A163">
        <v>162</v>
      </c>
      <c r="B163">
        <v>101</v>
      </c>
      <c r="C163">
        <v>102</v>
      </c>
      <c r="D163">
        <v>2.46E-2</v>
      </c>
      <c r="E163">
        <v>0.112</v>
      </c>
      <c r="F163">
        <v>2.9399999999999999E-2</v>
      </c>
      <c r="G163">
        <v>500</v>
      </c>
    </row>
    <row r="164" spans="1:7" x14ac:dyDescent="0.35">
      <c r="A164">
        <v>163</v>
      </c>
      <c r="B164">
        <v>100</v>
      </c>
      <c r="C164">
        <v>103</v>
      </c>
      <c r="D164">
        <v>1.6E-2</v>
      </c>
      <c r="E164">
        <v>5.2499999999999998E-2</v>
      </c>
      <c r="F164">
        <v>5.3600000000000002E-2</v>
      </c>
      <c r="G164">
        <v>500</v>
      </c>
    </row>
    <row r="165" spans="1:7" x14ac:dyDescent="0.35">
      <c r="A165">
        <v>164</v>
      </c>
      <c r="B165">
        <v>100</v>
      </c>
      <c r="C165">
        <v>104</v>
      </c>
      <c r="D165">
        <v>4.5100000000000001E-2</v>
      </c>
      <c r="E165">
        <v>0.20399999999999999</v>
      </c>
      <c r="F165">
        <v>5.4100000000000002E-2</v>
      </c>
      <c r="G165">
        <v>500</v>
      </c>
    </row>
    <row r="166" spans="1:7" x14ac:dyDescent="0.35">
      <c r="A166">
        <v>165</v>
      </c>
      <c r="B166">
        <v>103</v>
      </c>
      <c r="C166">
        <v>104</v>
      </c>
      <c r="D166">
        <v>4.6600000000000003E-2</v>
      </c>
      <c r="E166">
        <v>0.15840000000000001</v>
      </c>
      <c r="F166">
        <v>4.07E-2</v>
      </c>
      <c r="G166">
        <v>500</v>
      </c>
    </row>
    <row r="167" spans="1:7" x14ac:dyDescent="0.35">
      <c r="A167">
        <v>166</v>
      </c>
      <c r="B167">
        <v>103</v>
      </c>
      <c r="C167">
        <v>105</v>
      </c>
      <c r="D167">
        <v>5.3499999999999999E-2</v>
      </c>
      <c r="E167">
        <v>0.16250000000000001</v>
      </c>
      <c r="F167">
        <v>4.0800000000000003E-2</v>
      </c>
      <c r="G167">
        <v>500</v>
      </c>
    </row>
    <row r="168" spans="1:7" x14ac:dyDescent="0.35">
      <c r="A168">
        <v>167</v>
      </c>
      <c r="B168">
        <v>100</v>
      </c>
      <c r="C168">
        <v>106</v>
      </c>
      <c r="D168">
        <v>6.0499999999999998E-2</v>
      </c>
      <c r="E168">
        <v>0.22900000000000001</v>
      </c>
      <c r="F168">
        <v>6.2E-2</v>
      </c>
      <c r="G168">
        <v>500</v>
      </c>
    </row>
    <row r="169" spans="1:7" x14ac:dyDescent="0.35">
      <c r="A169">
        <v>168</v>
      </c>
      <c r="B169">
        <v>104</v>
      </c>
      <c r="C169">
        <v>105</v>
      </c>
      <c r="D169">
        <v>9.9399999999999992E-3</v>
      </c>
      <c r="E169">
        <v>3.78E-2</v>
      </c>
      <c r="F169">
        <v>9.8600000000000007E-3</v>
      </c>
      <c r="G169">
        <v>500</v>
      </c>
    </row>
    <row r="170" spans="1:7" x14ac:dyDescent="0.35">
      <c r="A170">
        <v>169</v>
      </c>
      <c r="B170">
        <v>105</v>
      </c>
      <c r="C170">
        <v>106</v>
      </c>
      <c r="D170">
        <v>1.4E-2</v>
      </c>
      <c r="E170">
        <v>5.4699999999999999E-2</v>
      </c>
      <c r="F170">
        <v>1.434E-2</v>
      </c>
      <c r="G170">
        <v>500</v>
      </c>
    </row>
    <row r="171" spans="1:7" x14ac:dyDescent="0.35">
      <c r="A171">
        <v>170</v>
      </c>
      <c r="B171">
        <v>105</v>
      </c>
      <c r="C171">
        <v>107</v>
      </c>
      <c r="D171">
        <v>5.2999999999999999E-2</v>
      </c>
      <c r="E171">
        <v>0.183</v>
      </c>
      <c r="F171">
        <v>4.7199999999999999E-2</v>
      </c>
      <c r="G171">
        <v>500</v>
      </c>
    </row>
    <row r="172" spans="1:7" x14ac:dyDescent="0.35">
      <c r="A172">
        <v>171</v>
      </c>
      <c r="B172">
        <v>105</v>
      </c>
      <c r="C172">
        <v>108</v>
      </c>
      <c r="D172">
        <v>2.6100000000000002E-2</v>
      </c>
      <c r="E172">
        <v>7.0300000000000001E-2</v>
      </c>
      <c r="F172">
        <v>1.8440000000000002E-2</v>
      </c>
      <c r="G172">
        <v>500</v>
      </c>
    </row>
    <row r="173" spans="1:7" x14ac:dyDescent="0.35">
      <c r="A173">
        <v>172</v>
      </c>
      <c r="B173">
        <v>106</v>
      </c>
      <c r="C173">
        <v>107</v>
      </c>
      <c r="D173">
        <v>5.2999999999999999E-2</v>
      </c>
      <c r="E173">
        <v>0.183</v>
      </c>
      <c r="F173">
        <v>4.7199999999999999E-2</v>
      </c>
      <c r="G173">
        <v>500</v>
      </c>
    </row>
    <row r="174" spans="1:7" x14ac:dyDescent="0.35">
      <c r="A174">
        <v>173</v>
      </c>
      <c r="B174">
        <v>108</v>
      </c>
      <c r="C174">
        <v>109</v>
      </c>
      <c r="D174">
        <v>1.0500000000000001E-2</v>
      </c>
      <c r="E174">
        <v>2.8799999999999999E-2</v>
      </c>
      <c r="F174">
        <v>7.6E-3</v>
      </c>
      <c r="G174">
        <v>500</v>
      </c>
    </row>
    <row r="175" spans="1:7" x14ac:dyDescent="0.35">
      <c r="A175">
        <v>174</v>
      </c>
      <c r="B175">
        <v>103</v>
      </c>
      <c r="C175">
        <v>110</v>
      </c>
      <c r="D175">
        <v>3.9059999999999997E-2</v>
      </c>
      <c r="E175">
        <v>0.18129999999999999</v>
      </c>
      <c r="F175">
        <v>4.6100000000000002E-2</v>
      </c>
      <c r="G175">
        <v>500</v>
      </c>
    </row>
    <row r="176" spans="1:7" x14ac:dyDescent="0.35">
      <c r="A176">
        <v>175</v>
      </c>
      <c r="B176">
        <v>109</v>
      </c>
      <c r="C176">
        <v>110</v>
      </c>
      <c r="D176">
        <v>2.7799999999999998E-2</v>
      </c>
      <c r="E176">
        <v>7.6200000000000004E-2</v>
      </c>
      <c r="F176">
        <v>2.0199999999999999E-2</v>
      </c>
      <c r="G176">
        <v>500</v>
      </c>
    </row>
    <row r="177" spans="1:7" x14ac:dyDescent="0.35">
      <c r="A177">
        <v>176</v>
      </c>
      <c r="B177">
        <v>110</v>
      </c>
      <c r="C177">
        <v>111</v>
      </c>
      <c r="D177">
        <v>2.1999999999999999E-2</v>
      </c>
      <c r="E177">
        <v>7.5499999999999998E-2</v>
      </c>
      <c r="F177">
        <v>0.02</v>
      </c>
      <c r="G177">
        <v>500</v>
      </c>
    </row>
    <row r="178" spans="1:7" x14ac:dyDescent="0.35">
      <c r="A178">
        <v>177</v>
      </c>
      <c r="B178">
        <v>110</v>
      </c>
      <c r="C178">
        <v>112</v>
      </c>
      <c r="D178">
        <v>2.47E-2</v>
      </c>
      <c r="E178">
        <v>6.4000000000000001E-2</v>
      </c>
      <c r="F178">
        <v>6.2E-2</v>
      </c>
      <c r="G178">
        <v>500</v>
      </c>
    </row>
    <row r="179" spans="1:7" x14ac:dyDescent="0.35">
      <c r="A179">
        <v>178</v>
      </c>
      <c r="B179">
        <v>17</v>
      </c>
      <c r="C179">
        <v>113</v>
      </c>
      <c r="D179">
        <v>9.1299999999999992E-3</v>
      </c>
      <c r="E179">
        <v>3.0099999999999998E-2</v>
      </c>
      <c r="F179">
        <v>7.6800000000000002E-3</v>
      </c>
      <c r="G179">
        <v>500</v>
      </c>
    </row>
    <row r="180" spans="1:7" x14ac:dyDescent="0.35">
      <c r="A180">
        <v>179</v>
      </c>
      <c r="B180">
        <v>32</v>
      </c>
      <c r="C180">
        <v>113</v>
      </c>
      <c r="D180">
        <v>6.1499999999999999E-2</v>
      </c>
      <c r="E180">
        <v>0.20300000000000001</v>
      </c>
      <c r="F180">
        <v>5.1799999999999999E-2</v>
      </c>
      <c r="G180">
        <v>500</v>
      </c>
    </row>
    <row r="181" spans="1:7" x14ac:dyDescent="0.35">
      <c r="A181">
        <v>180</v>
      </c>
      <c r="B181">
        <v>32</v>
      </c>
      <c r="C181">
        <v>114</v>
      </c>
      <c r="D181">
        <v>1.35E-2</v>
      </c>
      <c r="E181">
        <v>6.1199999999999997E-2</v>
      </c>
      <c r="F181">
        <v>1.6279999999999999E-2</v>
      </c>
      <c r="G181">
        <v>500</v>
      </c>
    </row>
    <row r="182" spans="1:7" x14ac:dyDescent="0.35">
      <c r="A182">
        <v>181</v>
      </c>
      <c r="B182">
        <v>27</v>
      </c>
      <c r="C182">
        <v>115</v>
      </c>
      <c r="D182">
        <v>1.6400000000000001E-2</v>
      </c>
      <c r="E182">
        <v>7.4099999999999999E-2</v>
      </c>
      <c r="F182">
        <v>1.9720000000000001E-2</v>
      </c>
      <c r="G182">
        <v>500</v>
      </c>
    </row>
    <row r="183" spans="1:7" x14ac:dyDescent="0.35">
      <c r="A183">
        <v>182</v>
      </c>
      <c r="B183">
        <v>114</v>
      </c>
      <c r="C183">
        <v>115</v>
      </c>
      <c r="D183">
        <v>2.3E-3</v>
      </c>
      <c r="E183">
        <v>1.04E-2</v>
      </c>
      <c r="F183">
        <v>2.7599999999999999E-3</v>
      </c>
      <c r="G183">
        <v>500</v>
      </c>
    </row>
    <row r="184" spans="1:7" x14ac:dyDescent="0.35">
      <c r="A184">
        <v>183</v>
      </c>
      <c r="B184">
        <v>68</v>
      </c>
      <c r="C184">
        <v>116</v>
      </c>
      <c r="D184">
        <v>3.4000000000000002E-4</v>
      </c>
      <c r="E184">
        <v>4.0499999999999998E-3</v>
      </c>
      <c r="F184">
        <v>0.16400000000000001</v>
      </c>
      <c r="G184">
        <v>500</v>
      </c>
    </row>
    <row r="185" spans="1:7" x14ac:dyDescent="0.35">
      <c r="A185">
        <v>184</v>
      </c>
      <c r="B185">
        <v>12</v>
      </c>
      <c r="C185">
        <v>117</v>
      </c>
      <c r="D185">
        <v>3.2899999999999999E-2</v>
      </c>
      <c r="E185">
        <v>0.14000000000000001</v>
      </c>
      <c r="F185">
        <v>3.5799999999999998E-2</v>
      </c>
      <c r="G185">
        <v>500</v>
      </c>
    </row>
    <row r="186" spans="1:7" x14ac:dyDescent="0.35">
      <c r="A186">
        <v>185</v>
      </c>
      <c r="B186">
        <v>75</v>
      </c>
      <c r="C186">
        <v>118</v>
      </c>
      <c r="D186">
        <v>1.4500000000000001E-2</v>
      </c>
      <c r="E186">
        <v>4.8099999999999997E-2</v>
      </c>
      <c r="F186">
        <v>1.1979999999999999E-2</v>
      </c>
      <c r="G186">
        <v>500</v>
      </c>
    </row>
    <row r="187" spans="1:7" x14ac:dyDescent="0.35">
      <c r="A187">
        <v>186</v>
      </c>
      <c r="B187">
        <v>76</v>
      </c>
      <c r="C187">
        <v>118</v>
      </c>
      <c r="D187">
        <v>1.6400000000000001E-2</v>
      </c>
      <c r="E187">
        <v>5.4399999999999997E-2</v>
      </c>
      <c r="F187">
        <v>1.3559999999999999E-2</v>
      </c>
      <c r="G187">
        <v>500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A4EC-8698-4298-A09D-F8F418F824D4}">
  <dimension ref="A1:M51"/>
  <sheetViews>
    <sheetView workbookViewId="0">
      <selection activeCell="A9" sqref="A9:XFD12"/>
    </sheetView>
  </sheetViews>
  <sheetFormatPr defaultRowHeight="14.15" x14ac:dyDescent="0.35"/>
  <cols>
    <col min="5" max="5" width="10.7109375" customWidth="1"/>
    <col min="6" max="6" width="10.140625" customWidth="1"/>
    <col min="7" max="7" width="16.28515625" customWidth="1"/>
    <col min="8" max="8" width="15" customWidth="1"/>
    <col min="9" max="9" width="11.7109375" customWidth="1"/>
    <col min="11" max="11" width="16.85546875" customWidth="1"/>
    <col min="12" max="12" width="16.42578125" customWidth="1"/>
    <col min="13" max="13" width="12.140625" customWidth="1"/>
  </cols>
  <sheetData>
    <row r="1" spans="1:13" ht="42.45" x14ac:dyDescent="0.35">
      <c r="A1" t="s">
        <v>169</v>
      </c>
      <c r="B1" s="1" t="s">
        <v>0</v>
      </c>
      <c r="C1" s="1" t="s">
        <v>170</v>
      </c>
      <c r="D1" s="1" t="s">
        <v>148</v>
      </c>
      <c r="E1" s="1" t="s">
        <v>155</v>
      </c>
      <c r="F1" s="1" t="s">
        <v>156</v>
      </c>
      <c r="G1" s="1" t="s">
        <v>159</v>
      </c>
      <c r="H1" s="1" t="s">
        <v>160</v>
      </c>
      <c r="I1" s="1" t="s">
        <v>149</v>
      </c>
      <c r="J1" s="1" t="s">
        <v>150</v>
      </c>
      <c r="K1" s="1" t="s">
        <v>171</v>
      </c>
      <c r="L1" s="1" t="s">
        <v>172</v>
      </c>
      <c r="M1" s="1" t="s">
        <v>173</v>
      </c>
    </row>
    <row r="2" spans="1:13" x14ac:dyDescent="0.35">
      <c r="A2">
        <v>1</v>
      </c>
      <c r="B2" s="1">
        <v>1</v>
      </c>
      <c r="C2" s="1">
        <v>10</v>
      </c>
      <c r="D2" s="1">
        <v>5</v>
      </c>
      <c r="E2" s="1">
        <f>10</f>
        <v>10</v>
      </c>
      <c r="F2" s="1">
        <f>0*E2</f>
        <v>0</v>
      </c>
      <c r="G2" s="1">
        <f>E2*0.2</f>
        <v>2</v>
      </c>
      <c r="H2" s="1">
        <f>E2*0.2</f>
        <v>2</v>
      </c>
      <c r="I2" s="1">
        <f>0.2*E2</f>
        <v>2</v>
      </c>
      <c r="J2" s="1">
        <v>30</v>
      </c>
      <c r="K2" s="1">
        <v>7</v>
      </c>
      <c r="L2" s="1">
        <v>7</v>
      </c>
      <c r="M2" s="1">
        <v>17</v>
      </c>
    </row>
    <row r="3" spans="1:13" x14ac:dyDescent="0.35">
      <c r="A3">
        <v>2</v>
      </c>
      <c r="B3" s="1">
        <v>4</v>
      </c>
      <c r="C3">
        <v>9</v>
      </c>
      <c r="D3" s="1">
        <v>5</v>
      </c>
      <c r="E3">
        <v>8</v>
      </c>
      <c r="F3" s="1">
        <f t="shared" ref="F3:F8" si="0">0*E3</f>
        <v>0</v>
      </c>
      <c r="G3">
        <f>E3*0.2</f>
        <v>1.6</v>
      </c>
      <c r="H3" s="1">
        <f t="shared" ref="H3:H8" si="1">E3*0.2</f>
        <v>1.6</v>
      </c>
      <c r="I3" s="1">
        <f t="shared" ref="I3:I8" si="2">0.2*E3</f>
        <v>1.6</v>
      </c>
      <c r="J3">
        <v>41.5</v>
      </c>
      <c r="K3">
        <v>6.8</v>
      </c>
      <c r="L3">
        <v>6.8</v>
      </c>
      <c r="M3">
        <v>16.100000000000001</v>
      </c>
    </row>
    <row r="4" spans="1:13" x14ac:dyDescent="0.35">
      <c r="A4">
        <v>3</v>
      </c>
      <c r="B4" s="1">
        <v>8</v>
      </c>
      <c r="C4">
        <v>10</v>
      </c>
      <c r="D4" s="1">
        <v>5</v>
      </c>
      <c r="E4">
        <v>16</v>
      </c>
      <c r="F4" s="1">
        <f t="shared" si="0"/>
        <v>0</v>
      </c>
      <c r="G4">
        <f t="shared" ref="G4:G8" si="3">E4*0.2</f>
        <v>3.2</v>
      </c>
      <c r="H4" s="1">
        <f t="shared" si="1"/>
        <v>3.2</v>
      </c>
      <c r="I4" s="1">
        <f t="shared" si="2"/>
        <v>3.2</v>
      </c>
      <c r="J4">
        <v>36.200000000000003</v>
      </c>
      <c r="K4">
        <v>8.5</v>
      </c>
      <c r="L4">
        <v>8.5</v>
      </c>
      <c r="M4">
        <v>12.3</v>
      </c>
    </row>
    <row r="5" spans="1:13" x14ac:dyDescent="0.35">
      <c r="A5">
        <v>4</v>
      </c>
      <c r="B5" s="1">
        <v>20</v>
      </c>
      <c r="C5">
        <v>11</v>
      </c>
      <c r="D5" s="1">
        <v>5</v>
      </c>
      <c r="E5">
        <v>16</v>
      </c>
      <c r="F5" s="1">
        <f t="shared" si="0"/>
        <v>0</v>
      </c>
      <c r="G5">
        <f t="shared" si="3"/>
        <v>3.2</v>
      </c>
      <c r="H5" s="1">
        <f t="shared" si="1"/>
        <v>3.2</v>
      </c>
      <c r="I5" s="1">
        <f t="shared" si="2"/>
        <v>3.2</v>
      </c>
      <c r="J5">
        <v>41.8</v>
      </c>
      <c r="K5">
        <v>11.8</v>
      </c>
      <c r="L5">
        <v>11.8</v>
      </c>
      <c r="M5">
        <v>14.5</v>
      </c>
    </row>
    <row r="6" spans="1:13" x14ac:dyDescent="0.35">
      <c r="A6">
        <v>5</v>
      </c>
      <c r="B6" s="1">
        <v>45</v>
      </c>
      <c r="C6">
        <v>16</v>
      </c>
      <c r="D6" s="1">
        <v>5</v>
      </c>
      <c r="E6">
        <v>15</v>
      </c>
      <c r="F6" s="1">
        <f t="shared" si="0"/>
        <v>0</v>
      </c>
      <c r="G6">
        <f t="shared" si="3"/>
        <v>3</v>
      </c>
      <c r="H6" s="1">
        <f t="shared" si="1"/>
        <v>3</v>
      </c>
      <c r="I6" s="1">
        <f t="shared" si="2"/>
        <v>3</v>
      </c>
      <c r="J6">
        <v>34.299999999999997</v>
      </c>
      <c r="K6">
        <v>6.3</v>
      </c>
      <c r="L6">
        <v>6.3</v>
      </c>
      <c r="M6">
        <v>18.2</v>
      </c>
    </row>
    <row r="7" spans="1:13" x14ac:dyDescent="0.35">
      <c r="A7">
        <v>6</v>
      </c>
      <c r="B7" s="1">
        <v>72</v>
      </c>
      <c r="C7">
        <v>8</v>
      </c>
      <c r="D7" s="1">
        <v>5</v>
      </c>
      <c r="E7">
        <v>10</v>
      </c>
      <c r="F7" s="1">
        <f t="shared" si="0"/>
        <v>0</v>
      </c>
      <c r="G7">
        <f t="shared" si="3"/>
        <v>2</v>
      </c>
      <c r="H7" s="1">
        <f t="shared" si="1"/>
        <v>2</v>
      </c>
      <c r="I7" s="1">
        <f t="shared" si="2"/>
        <v>2</v>
      </c>
      <c r="J7">
        <v>35.1</v>
      </c>
      <c r="K7">
        <v>7.6</v>
      </c>
      <c r="L7">
        <v>7.6</v>
      </c>
      <c r="M7">
        <v>25.5</v>
      </c>
    </row>
    <row r="8" spans="1:13" x14ac:dyDescent="0.35">
      <c r="A8">
        <v>7</v>
      </c>
      <c r="B8" s="1">
        <v>84</v>
      </c>
      <c r="C8">
        <v>12</v>
      </c>
      <c r="D8" s="1">
        <v>5</v>
      </c>
      <c r="E8">
        <v>8</v>
      </c>
      <c r="F8" s="1">
        <f t="shared" si="0"/>
        <v>0</v>
      </c>
      <c r="G8">
        <f t="shared" si="3"/>
        <v>1.6</v>
      </c>
      <c r="H8" s="1">
        <f t="shared" si="1"/>
        <v>1.6</v>
      </c>
      <c r="I8" s="1">
        <f t="shared" si="2"/>
        <v>1.6</v>
      </c>
      <c r="J8">
        <v>32.5</v>
      </c>
      <c r="K8">
        <v>10.5</v>
      </c>
      <c r="L8">
        <v>10.5</v>
      </c>
      <c r="M8">
        <v>26.3</v>
      </c>
    </row>
    <row r="9" spans="1:13" x14ac:dyDescent="0.35">
      <c r="B9" s="1"/>
    </row>
    <row r="10" spans="1:13" x14ac:dyDescent="0.35">
      <c r="B10" s="1"/>
    </row>
    <row r="11" spans="1:13" x14ac:dyDescent="0.35">
      <c r="B11" s="1"/>
    </row>
    <row r="12" spans="1:13" x14ac:dyDescent="0.35">
      <c r="B12" s="1"/>
    </row>
    <row r="13" spans="1:13" x14ac:dyDescent="0.35">
      <c r="B13" s="1"/>
    </row>
    <row r="14" spans="1:13" x14ac:dyDescent="0.35">
      <c r="B14" s="1"/>
    </row>
    <row r="15" spans="1:13" x14ac:dyDescent="0.35">
      <c r="B15" s="1"/>
    </row>
    <row r="16" spans="1:13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C583-CE37-4A88-B4BD-46DFABAAD70B}">
  <dimension ref="A1:E51"/>
  <sheetViews>
    <sheetView workbookViewId="0">
      <selection activeCell="A9" sqref="A9:XFD12"/>
    </sheetView>
  </sheetViews>
  <sheetFormatPr defaultRowHeight="14.15" x14ac:dyDescent="0.35"/>
  <cols>
    <col min="4" max="4" width="15.35546875" customWidth="1"/>
    <col min="5" max="5" width="13.5703125" customWidth="1"/>
  </cols>
  <sheetData>
    <row r="1" spans="1:5" ht="28.3" x14ac:dyDescent="0.35">
      <c r="A1" t="s">
        <v>169</v>
      </c>
      <c r="B1" s="1" t="s">
        <v>0</v>
      </c>
      <c r="C1" s="1" t="s">
        <v>170</v>
      </c>
      <c r="D1" s="1" t="s">
        <v>174</v>
      </c>
      <c r="E1" s="1" t="s">
        <v>175</v>
      </c>
    </row>
    <row r="2" spans="1:5" x14ac:dyDescent="0.35">
      <c r="A2">
        <v>1</v>
      </c>
      <c r="B2" s="1">
        <v>1</v>
      </c>
      <c r="C2" s="1">
        <v>10</v>
      </c>
      <c r="D2" s="1">
        <v>1</v>
      </c>
      <c r="E2" s="1">
        <v>12</v>
      </c>
    </row>
    <row r="3" spans="1:5" x14ac:dyDescent="0.35">
      <c r="A3">
        <v>2</v>
      </c>
      <c r="B3" s="1">
        <v>4</v>
      </c>
      <c r="C3">
        <v>14</v>
      </c>
      <c r="D3">
        <v>2</v>
      </c>
      <c r="E3">
        <v>19.600000000000001</v>
      </c>
    </row>
    <row r="4" spans="1:5" x14ac:dyDescent="0.35">
      <c r="A4">
        <v>3</v>
      </c>
      <c r="B4" s="1">
        <v>8</v>
      </c>
      <c r="C4">
        <v>28</v>
      </c>
      <c r="D4">
        <v>1</v>
      </c>
      <c r="E4">
        <v>10.8</v>
      </c>
    </row>
    <row r="5" spans="1:5" x14ac:dyDescent="0.35">
      <c r="A5">
        <v>4</v>
      </c>
      <c r="B5" s="1">
        <v>20</v>
      </c>
      <c r="C5">
        <v>23</v>
      </c>
      <c r="D5">
        <v>1</v>
      </c>
      <c r="E5">
        <v>13.5</v>
      </c>
    </row>
    <row r="6" spans="1:5" x14ac:dyDescent="0.35">
      <c r="A6">
        <v>5</v>
      </c>
      <c r="B6" s="1">
        <v>45</v>
      </c>
      <c r="C6">
        <v>20</v>
      </c>
      <c r="D6">
        <v>2</v>
      </c>
      <c r="E6">
        <v>14</v>
      </c>
    </row>
    <row r="7" spans="1:5" x14ac:dyDescent="0.35">
      <c r="A7">
        <v>6</v>
      </c>
      <c r="B7" s="1">
        <v>72</v>
      </c>
      <c r="C7">
        <v>9</v>
      </c>
      <c r="D7">
        <v>2</v>
      </c>
      <c r="E7">
        <v>22.9</v>
      </c>
    </row>
    <row r="8" spans="1:5" x14ac:dyDescent="0.35">
      <c r="A8">
        <v>7</v>
      </c>
      <c r="B8" s="1">
        <v>84</v>
      </c>
      <c r="C8">
        <v>9</v>
      </c>
      <c r="D8">
        <v>2</v>
      </c>
      <c r="E8">
        <v>22.5</v>
      </c>
    </row>
    <row r="9" spans="1:5" x14ac:dyDescent="0.35">
      <c r="B9" s="1"/>
    </row>
    <row r="10" spans="1:5" x14ac:dyDescent="0.35">
      <c r="B10" s="1"/>
    </row>
    <row r="11" spans="1:5" x14ac:dyDescent="0.35">
      <c r="B11" s="1"/>
    </row>
    <row r="12" spans="1:5" x14ac:dyDescent="0.35">
      <c r="B12" s="1"/>
    </row>
    <row r="13" spans="1:5" x14ac:dyDescent="0.35">
      <c r="B13" s="1"/>
    </row>
    <row r="14" spans="1:5" x14ac:dyDescent="0.35">
      <c r="B14" s="1"/>
    </row>
    <row r="15" spans="1:5" x14ac:dyDescent="0.35">
      <c r="B15" s="1"/>
    </row>
    <row r="16" spans="1:5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6FE8-4956-4B1D-ABA5-E52F1604A8BB}">
  <dimension ref="A1:J51"/>
  <sheetViews>
    <sheetView workbookViewId="0">
      <selection activeCell="A9" sqref="A9:XFD12"/>
    </sheetView>
  </sheetViews>
  <sheetFormatPr defaultRowHeight="14.15" x14ac:dyDescent="0.35"/>
  <cols>
    <col min="4" max="4" width="19" customWidth="1"/>
    <col min="5" max="5" width="13.2109375" customWidth="1"/>
    <col min="6" max="7" width="13.85546875" customWidth="1"/>
    <col min="8" max="8" width="12.640625" customWidth="1"/>
    <col min="9" max="9" width="10.640625" customWidth="1"/>
    <col min="10" max="10" width="13" customWidth="1"/>
  </cols>
  <sheetData>
    <row r="1" spans="1:10" ht="28.3" x14ac:dyDescent="0.35">
      <c r="A1" s="6" t="s">
        <v>186</v>
      </c>
      <c r="B1" s="7" t="s">
        <v>0</v>
      </c>
      <c r="C1" s="7" t="s">
        <v>170</v>
      </c>
      <c r="D1" s="7" t="s">
        <v>176</v>
      </c>
      <c r="E1" s="7" t="s">
        <v>177</v>
      </c>
      <c r="F1" s="7" t="s">
        <v>178</v>
      </c>
      <c r="G1" s="7" t="s">
        <v>179</v>
      </c>
      <c r="H1" s="7" t="s">
        <v>180</v>
      </c>
      <c r="I1" s="7" t="s">
        <v>181</v>
      </c>
      <c r="J1" s="7" t="s">
        <v>175</v>
      </c>
    </row>
    <row r="2" spans="1:10" x14ac:dyDescent="0.35">
      <c r="A2" s="8">
        <v>1</v>
      </c>
      <c r="B2" s="8">
        <v>1</v>
      </c>
      <c r="C2" s="8">
        <v>1</v>
      </c>
      <c r="D2" s="8">
        <v>10</v>
      </c>
      <c r="E2" s="8">
        <v>5</v>
      </c>
      <c r="F2" s="8">
        <v>45</v>
      </c>
      <c r="G2" s="7">
        <v>0.9</v>
      </c>
      <c r="H2" s="8">
        <v>25</v>
      </c>
      <c r="I2" s="8">
        <v>2</v>
      </c>
      <c r="J2" s="7">
        <v>9</v>
      </c>
    </row>
    <row r="3" spans="1:10" x14ac:dyDescent="0.35">
      <c r="A3" s="8">
        <v>2</v>
      </c>
      <c r="B3" s="8">
        <v>4</v>
      </c>
      <c r="C3" s="8">
        <v>3</v>
      </c>
      <c r="D3" s="8">
        <v>9</v>
      </c>
      <c r="E3" s="8">
        <v>2</v>
      </c>
      <c r="F3" s="8">
        <v>18</v>
      </c>
      <c r="G3" s="7">
        <v>0.9</v>
      </c>
      <c r="H3" s="8">
        <v>10</v>
      </c>
      <c r="I3" s="8">
        <v>1</v>
      </c>
      <c r="J3" s="6">
        <v>8.9</v>
      </c>
    </row>
    <row r="4" spans="1:10" x14ac:dyDescent="0.35">
      <c r="A4" s="8">
        <v>3</v>
      </c>
      <c r="B4" s="8">
        <v>8</v>
      </c>
      <c r="C4" s="8">
        <v>6</v>
      </c>
      <c r="D4" s="8">
        <v>13.5</v>
      </c>
      <c r="E4" s="8">
        <v>3</v>
      </c>
      <c r="F4" s="8">
        <v>27</v>
      </c>
      <c r="G4" s="7">
        <v>0.9</v>
      </c>
      <c r="H4" s="8">
        <v>15</v>
      </c>
      <c r="I4" s="8">
        <v>2</v>
      </c>
      <c r="J4" s="6">
        <v>7.4</v>
      </c>
    </row>
    <row r="5" spans="1:10" x14ac:dyDescent="0.35">
      <c r="A5" s="8">
        <v>4</v>
      </c>
      <c r="B5" s="8">
        <v>20</v>
      </c>
      <c r="C5" s="8">
        <v>5</v>
      </c>
      <c r="D5" s="8">
        <v>6.75</v>
      </c>
      <c r="E5" s="8">
        <v>1.5</v>
      </c>
      <c r="F5" s="8">
        <v>13.5</v>
      </c>
      <c r="G5" s="7">
        <v>0.9</v>
      </c>
      <c r="H5" s="8">
        <v>7.5</v>
      </c>
      <c r="I5" s="8">
        <v>1</v>
      </c>
      <c r="J5" s="6">
        <v>12</v>
      </c>
    </row>
    <row r="6" spans="1:10" x14ac:dyDescent="0.35">
      <c r="A6" s="8">
        <v>5</v>
      </c>
      <c r="B6" s="8">
        <v>45</v>
      </c>
      <c r="C6" s="8">
        <v>4</v>
      </c>
      <c r="D6" s="8">
        <v>8.1</v>
      </c>
      <c r="E6" s="8">
        <v>1.8</v>
      </c>
      <c r="F6" s="8">
        <v>16.2</v>
      </c>
      <c r="G6" s="7">
        <v>0.9</v>
      </c>
      <c r="H6" s="8">
        <v>9</v>
      </c>
      <c r="I6" s="8">
        <v>1</v>
      </c>
      <c r="J6" s="6">
        <v>10.8</v>
      </c>
    </row>
    <row r="7" spans="1:10" x14ac:dyDescent="0.35">
      <c r="A7" s="8">
        <v>6</v>
      </c>
      <c r="B7" s="8">
        <v>72</v>
      </c>
      <c r="C7" s="8">
        <v>1</v>
      </c>
      <c r="D7" s="8">
        <v>11.25</v>
      </c>
      <c r="E7" s="8">
        <v>2.5</v>
      </c>
      <c r="F7" s="8">
        <v>22.5</v>
      </c>
      <c r="G7" s="7">
        <v>0.9</v>
      </c>
      <c r="H7" s="8">
        <v>12.5</v>
      </c>
      <c r="I7" s="8">
        <v>1</v>
      </c>
      <c r="J7" s="6">
        <v>15.6</v>
      </c>
    </row>
    <row r="8" spans="1:10" x14ac:dyDescent="0.35">
      <c r="A8" s="8">
        <v>7</v>
      </c>
      <c r="B8" s="8">
        <v>84</v>
      </c>
      <c r="C8" s="8">
        <v>1</v>
      </c>
      <c r="D8" s="8">
        <v>22.5</v>
      </c>
      <c r="E8" s="8">
        <v>5</v>
      </c>
      <c r="F8" s="8">
        <v>45</v>
      </c>
      <c r="G8" s="7">
        <v>0.9</v>
      </c>
      <c r="H8" s="8">
        <v>25</v>
      </c>
      <c r="I8" s="8">
        <v>2</v>
      </c>
      <c r="J8" s="6">
        <v>15.7</v>
      </c>
    </row>
    <row r="9" spans="1:10" x14ac:dyDescent="0.35">
      <c r="B9" s="1"/>
    </row>
    <row r="10" spans="1:10" x14ac:dyDescent="0.35">
      <c r="B10" s="1"/>
    </row>
    <row r="11" spans="1:10" x14ac:dyDescent="0.35">
      <c r="B11" s="1"/>
    </row>
    <row r="12" spans="1:10" x14ac:dyDescent="0.35">
      <c r="B12" s="1"/>
    </row>
    <row r="13" spans="1:10" x14ac:dyDescent="0.35">
      <c r="B13" s="1"/>
    </row>
    <row r="14" spans="1:10" x14ac:dyDescent="0.35">
      <c r="B14" s="1"/>
    </row>
    <row r="15" spans="1:10" x14ac:dyDescent="0.35">
      <c r="B15" s="1"/>
    </row>
    <row r="16" spans="1:10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42A0-984F-453B-B895-585DE39ED710}">
  <dimension ref="A1:H51"/>
  <sheetViews>
    <sheetView zoomScale="85" zoomScaleNormal="85" workbookViewId="0">
      <selection activeCell="I1" sqref="I1:L1048576"/>
    </sheetView>
  </sheetViews>
  <sheetFormatPr defaultRowHeight="14.15" x14ac:dyDescent="0.35"/>
  <sheetData>
    <row r="1" spans="1:8" ht="56.6" x14ac:dyDescent="0.35">
      <c r="A1" t="s">
        <v>169</v>
      </c>
      <c r="B1" s="1" t="s">
        <v>0</v>
      </c>
      <c r="C1" s="1" t="s">
        <v>170</v>
      </c>
      <c r="D1" s="1" t="s">
        <v>2</v>
      </c>
      <c r="E1" s="1" t="s">
        <v>175</v>
      </c>
    </row>
    <row r="2" spans="1:8" x14ac:dyDescent="0.35">
      <c r="A2">
        <v>1</v>
      </c>
      <c r="B2" s="1">
        <v>1</v>
      </c>
      <c r="C2" s="1">
        <v>1</v>
      </c>
      <c r="D2" s="1">
        <v>5</v>
      </c>
      <c r="E2" s="1">
        <v>10</v>
      </c>
    </row>
    <row r="3" spans="1:8" x14ac:dyDescent="0.35">
      <c r="A3">
        <v>2</v>
      </c>
      <c r="B3" s="1">
        <v>4</v>
      </c>
      <c r="C3" s="1">
        <v>1</v>
      </c>
      <c r="D3">
        <v>12</v>
      </c>
      <c r="E3">
        <v>6.8</v>
      </c>
    </row>
    <row r="4" spans="1:8" x14ac:dyDescent="0.35">
      <c r="A4">
        <v>3</v>
      </c>
      <c r="B4" s="1">
        <v>8</v>
      </c>
      <c r="C4" s="1">
        <v>1</v>
      </c>
      <c r="D4">
        <v>24</v>
      </c>
      <c r="E4" s="1">
        <v>11.7</v>
      </c>
    </row>
    <row r="5" spans="1:8" x14ac:dyDescent="0.35">
      <c r="A5">
        <v>4</v>
      </c>
      <c r="B5" s="1">
        <v>20</v>
      </c>
      <c r="C5" s="1">
        <v>1</v>
      </c>
      <c r="D5">
        <v>20</v>
      </c>
      <c r="E5">
        <v>7.8</v>
      </c>
    </row>
    <row r="6" spans="1:8" x14ac:dyDescent="0.35">
      <c r="A6">
        <v>5</v>
      </c>
      <c r="B6" s="1">
        <v>45</v>
      </c>
      <c r="C6" s="1">
        <v>1</v>
      </c>
      <c r="D6">
        <v>17</v>
      </c>
      <c r="E6" s="1">
        <v>9.8000000000000007</v>
      </c>
    </row>
    <row r="7" spans="1:8" x14ac:dyDescent="0.35">
      <c r="A7">
        <v>6</v>
      </c>
      <c r="B7" s="1">
        <v>72</v>
      </c>
      <c r="C7" s="1">
        <v>1</v>
      </c>
      <c r="D7">
        <v>8</v>
      </c>
      <c r="E7">
        <v>12.4</v>
      </c>
    </row>
    <row r="8" spans="1:8" x14ac:dyDescent="0.35">
      <c r="A8">
        <v>7</v>
      </c>
      <c r="B8" s="1">
        <v>84</v>
      </c>
      <c r="C8" s="1">
        <v>1</v>
      </c>
      <c r="D8">
        <v>8</v>
      </c>
      <c r="E8" s="1">
        <v>10.5</v>
      </c>
    </row>
    <row r="9" spans="1:8" x14ac:dyDescent="0.35">
      <c r="B9" s="1"/>
    </row>
    <row r="10" spans="1:8" x14ac:dyDescent="0.35">
      <c r="A10" s="1" t="s">
        <v>3</v>
      </c>
      <c r="B10" t="s">
        <v>182</v>
      </c>
      <c r="C10" t="s">
        <v>187</v>
      </c>
      <c r="D10" t="s">
        <v>188</v>
      </c>
      <c r="E10" t="s">
        <v>189</v>
      </c>
      <c r="F10" t="s">
        <v>190</v>
      </c>
      <c r="G10" t="s">
        <v>191</v>
      </c>
      <c r="H10" t="s">
        <v>192</v>
      </c>
    </row>
    <row r="11" spans="1:8" x14ac:dyDescent="0.35">
      <c r="A11" s="1">
        <v>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x14ac:dyDescent="0.35">
      <c r="A12" s="1">
        <v>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5">
      <c r="A13" s="1">
        <v>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35">
      <c r="A14" s="1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x14ac:dyDescent="0.35">
      <c r="A15" s="1">
        <v>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35">
      <c r="A16" s="1">
        <v>6</v>
      </c>
      <c r="B16" s="4">
        <v>0</v>
      </c>
      <c r="C16" s="4">
        <v>0</v>
      </c>
      <c r="D16" s="4">
        <v>0</v>
      </c>
      <c r="E16" s="4">
        <v>0</v>
      </c>
      <c r="F16" s="4">
        <v>0.718004548826641</v>
      </c>
      <c r="G16" s="4">
        <v>1.2491418788908899</v>
      </c>
      <c r="H16" s="4">
        <v>0</v>
      </c>
    </row>
    <row r="17" spans="1:8" x14ac:dyDescent="0.35">
      <c r="A17" s="1">
        <v>7</v>
      </c>
      <c r="B17" s="4">
        <v>0.120934424618017</v>
      </c>
      <c r="C17" s="4">
        <v>0</v>
      </c>
      <c r="D17" s="4">
        <v>4.6197337286666196</v>
      </c>
      <c r="E17" s="4">
        <v>0</v>
      </c>
      <c r="F17" s="4">
        <v>3.7545649017835401</v>
      </c>
      <c r="G17" s="4">
        <v>2.5701268222646698</v>
      </c>
      <c r="H17" s="4">
        <v>1.1131111735796599</v>
      </c>
    </row>
    <row r="18" spans="1:8" x14ac:dyDescent="0.35">
      <c r="A18" s="1">
        <v>8</v>
      </c>
      <c r="B18" s="4">
        <v>1.5621324848281699</v>
      </c>
      <c r="C18" s="4">
        <v>0</v>
      </c>
      <c r="D18" s="4">
        <v>3.3747720789026898</v>
      </c>
      <c r="E18" s="4">
        <v>4.1340296994386403</v>
      </c>
      <c r="F18" s="4">
        <v>7.6642159042311002</v>
      </c>
      <c r="G18" s="4">
        <v>3.9203734225326099</v>
      </c>
      <c r="H18" s="4">
        <v>4.9727030398047498</v>
      </c>
    </row>
    <row r="19" spans="1:8" x14ac:dyDescent="0.35">
      <c r="A19" s="1">
        <v>9</v>
      </c>
      <c r="B19" s="4">
        <v>2.6127565489291298</v>
      </c>
      <c r="C19" s="4">
        <v>1.01943787095976</v>
      </c>
      <c r="D19" s="4">
        <v>6.5100701101479101</v>
      </c>
      <c r="E19" s="4">
        <v>8.77909122494796</v>
      </c>
      <c r="F19" s="4">
        <v>13.328256750617401</v>
      </c>
      <c r="G19" s="4">
        <v>4.9339988872616001</v>
      </c>
      <c r="H19" s="4">
        <v>8</v>
      </c>
    </row>
    <row r="20" spans="1:8" x14ac:dyDescent="0.35">
      <c r="A20" s="1">
        <v>10</v>
      </c>
      <c r="B20" s="4">
        <v>3.6999104867699701</v>
      </c>
      <c r="C20" s="4">
        <v>3.8308788449418598</v>
      </c>
      <c r="D20" s="4">
        <v>7.69932524927078</v>
      </c>
      <c r="E20" s="4">
        <v>13.353945579294299</v>
      </c>
      <c r="F20" s="4">
        <v>16.863279235971099</v>
      </c>
      <c r="G20" s="4">
        <v>6.4155534791943998</v>
      </c>
      <c r="H20" s="4">
        <v>8</v>
      </c>
    </row>
    <row r="21" spans="1:8" x14ac:dyDescent="0.35">
      <c r="A21" s="1">
        <v>11</v>
      </c>
      <c r="B21" s="4">
        <v>3.94956593088187</v>
      </c>
      <c r="C21" s="4">
        <v>6.7059626101855896</v>
      </c>
      <c r="D21" s="4">
        <v>14.415355043780099</v>
      </c>
      <c r="E21" s="4">
        <v>16.123653852034401</v>
      </c>
      <c r="F21" s="4">
        <v>17</v>
      </c>
      <c r="G21" s="4">
        <v>7.4436245901740898</v>
      </c>
      <c r="H21" s="4">
        <v>7.5851026211441903</v>
      </c>
    </row>
    <row r="22" spans="1:8" x14ac:dyDescent="0.35">
      <c r="A22" s="1">
        <v>12</v>
      </c>
      <c r="B22" s="4">
        <v>4.6226444237729298</v>
      </c>
      <c r="C22" s="4">
        <v>10.009653456776601</v>
      </c>
      <c r="D22" s="4">
        <v>19.0324609505886</v>
      </c>
      <c r="E22" s="4">
        <v>16.513065947546401</v>
      </c>
      <c r="F22" s="4">
        <v>13.9330325149953</v>
      </c>
      <c r="G22" s="4">
        <v>6.21937562140746</v>
      </c>
      <c r="H22" s="4">
        <v>7.9456414833849598</v>
      </c>
    </row>
    <row r="23" spans="1:8" x14ac:dyDescent="0.35">
      <c r="A23" s="1">
        <v>13</v>
      </c>
      <c r="B23" s="4">
        <v>4.7065755025201597</v>
      </c>
      <c r="C23" s="4">
        <v>11.8424325621876</v>
      </c>
      <c r="D23" s="4">
        <v>21.547755137306499</v>
      </c>
      <c r="E23" s="4">
        <v>16.033427142315102</v>
      </c>
      <c r="F23" s="4">
        <v>7.7613429621336198</v>
      </c>
      <c r="G23" s="4">
        <v>4.7878924642584799</v>
      </c>
      <c r="H23" s="4">
        <v>8</v>
      </c>
    </row>
    <row r="24" spans="1:8" x14ac:dyDescent="0.35">
      <c r="A24" s="1">
        <v>14</v>
      </c>
      <c r="B24" s="4">
        <v>4.1302047384440499</v>
      </c>
      <c r="C24" s="4">
        <v>11.279418105178801</v>
      </c>
      <c r="D24" s="4">
        <v>20.121522450038299</v>
      </c>
      <c r="E24" s="4">
        <v>14.819886179155199</v>
      </c>
      <c r="F24" s="4">
        <v>3.3713149018809001</v>
      </c>
      <c r="G24" s="4">
        <v>2.9885058149312802</v>
      </c>
      <c r="H24" s="4">
        <v>8</v>
      </c>
    </row>
    <row r="25" spans="1:8" x14ac:dyDescent="0.35">
      <c r="A25" s="1">
        <v>15</v>
      </c>
      <c r="B25" s="4">
        <v>3.2901577054217701</v>
      </c>
      <c r="C25" s="4">
        <v>9.1759007997969206</v>
      </c>
      <c r="D25" s="4">
        <v>13.668026748021701</v>
      </c>
      <c r="E25" s="4">
        <v>13.439756620947501</v>
      </c>
      <c r="F25" s="4">
        <v>1.42874476486111</v>
      </c>
      <c r="G25" s="4">
        <v>2.5531991920049699</v>
      </c>
      <c r="H25" s="4">
        <v>6.65945705610436</v>
      </c>
    </row>
    <row r="26" spans="1:8" x14ac:dyDescent="0.35">
      <c r="A26" s="1">
        <v>16</v>
      </c>
      <c r="B26" s="4">
        <v>2.07625185549337</v>
      </c>
      <c r="C26" s="4">
        <v>5.5429980279939697</v>
      </c>
      <c r="D26" s="4">
        <v>7.8049044494684896</v>
      </c>
      <c r="E26" s="4">
        <v>10.375156317188701</v>
      </c>
      <c r="F26" s="4">
        <v>0.38115184906132099</v>
      </c>
      <c r="G26" s="4">
        <v>0.91920018370605405</v>
      </c>
      <c r="H26" s="4">
        <v>4.5208842158572304</v>
      </c>
    </row>
    <row r="27" spans="1:8" x14ac:dyDescent="0.35">
      <c r="A27" s="1">
        <v>17</v>
      </c>
      <c r="B27" s="4">
        <v>1.25688552599808</v>
      </c>
      <c r="C27" s="4">
        <v>3.2502069831637299</v>
      </c>
      <c r="D27" s="4">
        <v>2.2975032163883999</v>
      </c>
      <c r="E27" s="4">
        <v>6.90057249842841</v>
      </c>
      <c r="F27" s="4">
        <v>0.120499664317763</v>
      </c>
      <c r="G27" s="4">
        <v>0.37707031117080803</v>
      </c>
      <c r="H27" s="4">
        <v>1.43331206716548</v>
      </c>
    </row>
    <row r="28" spans="1:8" x14ac:dyDescent="0.35">
      <c r="A28" s="1">
        <v>18</v>
      </c>
      <c r="B28" s="4">
        <v>0.29792150769973502</v>
      </c>
      <c r="C28" s="4">
        <v>2.01614489344272</v>
      </c>
      <c r="D28" s="4">
        <v>0</v>
      </c>
      <c r="E28" s="4">
        <v>4.2446308450624102</v>
      </c>
      <c r="F28" s="4">
        <v>0</v>
      </c>
      <c r="G28" s="4">
        <v>0</v>
      </c>
      <c r="H28" s="4">
        <v>0</v>
      </c>
    </row>
    <row r="29" spans="1:8" x14ac:dyDescent="0.35">
      <c r="A29" s="1">
        <v>19</v>
      </c>
      <c r="B29" s="4">
        <v>0</v>
      </c>
      <c r="C29" s="4">
        <v>1.8696109425666501</v>
      </c>
      <c r="D29" s="4">
        <v>0</v>
      </c>
      <c r="E29" s="4">
        <v>1.7098557494097899</v>
      </c>
      <c r="F29" s="4">
        <v>0</v>
      </c>
      <c r="G29" s="4">
        <v>0</v>
      </c>
      <c r="H29" s="4">
        <v>0</v>
      </c>
    </row>
    <row r="30" spans="1:8" x14ac:dyDescent="0.35">
      <c r="A30" s="1">
        <v>20</v>
      </c>
      <c r="B30" s="4">
        <v>0</v>
      </c>
      <c r="C30" s="4">
        <v>1.824520809999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5">
      <c r="A31" s="1">
        <v>21</v>
      </c>
      <c r="B31" s="4">
        <v>0</v>
      </c>
      <c r="C31" s="4">
        <v>0.76978628705691998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5">
      <c r="A32" s="1">
        <v>22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5">
      <c r="A33" s="1">
        <v>23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5">
      <c r="A34" s="1">
        <v>24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5">
      <c r="B35" s="1"/>
    </row>
    <row r="36" spans="1:8" x14ac:dyDescent="0.35">
      <c r="B36" s="1"/>
    </row>
    <row r="37" spans="1:8" x14ac:dyDescent="0.35">
      <c r="B37" s="1"/>
    </row>
    <row r="38" spans="1:8" x14ac:dyDescent="0.35">
      <c r="B38" s="1"/>
    </row>
    <row r="39" spans="1:8" x14ac:dyDescent="0.35">
      <c r="B39" s="1"/>
    </row>
    <row r="40" spans="1:8" x14ac:dyDescent="0.35">
      <c r="B40" s="1"/>
    </row>
    <row r="41" spans="1:8" x14ac:dyDescent="0.35">
      <c r="B41" s="1"/>
    </row>
    <row r="42" spans="1:8" x14ac:dyDescent="0.35">
      <c r="B42" s="1"/>
    </row>
    <row r="43" spans="1:8" x14ac:dyDescent="0.35">
      <c r="B43" s="1"/>
    </row>
    <row r="44" spans="1:8" x14ac:dyDescent="0.35">
      <c r="B44" s="1"/>
    </row>
    <row r="45" spans="1:8" x14ac:dyDescent="0.35">
      <c r="B45" s="1"/>
    </row>
    <row r="46" spans="1:8" x14ac:dyDescent="0.35">
      <c r="B46" s="1"/>
    </row>
    <row r="47" spans="1:8" x14ac:dyDescent="0.35">
      <c r="B47" s="1"/>
    </row>
    <row r="48" spans="1:8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5943-557B-4D6C-8D8A-6915D608D663}">
  <dimension ref="A1:K24"/>
  <sheetViews>
    <sheetView tabSelected="1" workbookViewId="0">
      <selection activeCell="A9" sqref="A9:XFD12"/>
    </sheetView>
  </sheetViews>
  <sheetFormatPr defaultRowHeight="14.15" x14ac:dyDescent="0.35"/>
  <cols>
    <col min="3" max="3" width="14.140625" customWidth="1"/>
    <col min="4" max="4" width="13.2109375" customWidth="1"/>
    <col min="5" max="5" width="20.28515625" customWidth="1"/>
    <col min="6" max="6" width="13.7109375" customWidth="1"/>
    <col min="7" max="7" width="14.28515625" customWidth="1"/>
    <col min="8" max="8" width="18.28515625" customWidth="1"/>
    <col min="9" max="9" width="18.85546875" customWidth="1"/>
    <col min="10" max="10" width="16.28515625" customWidth="1"/>
  </cols>
  <sheetData>
    <row r="1" spans="1:11" ht="28.3" x14ac:dyDescent="0.35">
      <c r="A1" t="s">
        <v>169</v>
      </c>
      <c r="B1" s="1" t="s">
        <v>0</v>
      </c>
      <c r="C1" s="1" t="s">
        <v>170</v>
      </c>
      <c r="D1" s="1" t="s">
        <v>173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183</v>
      </c>
    </row>
    <row r="2" spans="1:11" x14ac:dyDescent="0.35">
      <c r="A2">
        <v>1</v>
      </c>
      <c r="B2" s="1">
        <v>1</v>
      </c>
      <c r="C2" s="1">
        <v>120</v>
      </c>
      <c r="D2" s="1">
        <v>14</v>
      </c>
      <c r="E2" s="1">
        <v>2.1999999999999999E-2</v>
      </c>
      <c r="F2" s="1">
        <v>6.0000000000000001E-3</v>
      </c>
      <c r="G2" s="1">
        <v>5.3999999999999999E-2</v>
      </c>
      <c r="H2" s="1">
        <v>0.9</v>
      </c>
      <c r="I2" s="1">
        <v>0.02</v>
      </c>
      <c r="J2" s="1">
        <v>4.4000000000000003E-3</v>
      </c>
    </row>
    <row r="3" spans="1:11" x14ac:dyDescent="0.35">
      <c r="A3">
        <v>2</v>
      </c>
      <c r="B3" s="1">
        <v>4</v>
      </c>
      <c r="C3">
        <v>200</v>
      </c>
      <c r="D3" s="1">
        <v>13</v>
      </c>
      <c r="E3" s="1">
        <v>3.3000000000000002E-2</v>
      </c>
      <c r="F3" s="1">
        <v>8.0000000000000002E-3</v>
      </c>
      <c r="G3" s="1">
        <v>7.2000000000000008E-2</v>
      </c>
      <c r="H3" s="1">
        <v>0.9</v>
      </c>
      <c r="I3" s="1">
        <v>0.03</v>
      </c>
      <c r="J3" s="1">
        <v>6.6000000000000008E-3</v>
      </c>
      <c r="K3" s="1"/>
    </row>
    <row r="4" spans="1:11" x14ac:dyDescent="0.35">
      <c r="A4">
        <v>3</v>
      </c>
      <c r="B4" s="1">
        <v>8</v>
      </c>
      <c r="C4" s="1">
        <v>280</v>
      </c>
      <c r="D4" s="1">
        <v>14</v>
      </c>
      <c r="E4" s="1">
        <v>2.1999999999999999E-2</v>
      </c>
      <c r="F4" s="1">
        <v>6.0000000000000001E-3</v>
      </c>
      <c r="G4" s="1">
        <v>5.3999999999999999E-2</v>
      </c>
      <c r="H4" s="1">
        <v>0.9</v>
      </c>
      <c r="I4" s="1">
        <v>0.02</v>
      </c>
      <c r="J4" s="1">
        <v>4.4000000000000003E-3</v>
      </c>
    </row>
    <row r="5" spans="1:11" x14ac:dyDescent="0.35">
      <c r="A5">
        <v>4</v>
      </c>
      <c r="B5" s="1">
        <v>20</v>
      </c>
      <c r="C5">
        <v>360</v>
      </c>
      <c r="D5" s="1">
        <v>13</v>
      </c>
      <c r="E5" s="1">
        <v>3.3000000000000002E-2</v>
      </c>
      <c r="F5" s="1">
        <v>8.0000000000000002E-3</v>
      </c>
      <c r="G5" s="1">
        <v>7.2000000000000008E-2</v>
      </c>
      <c r="H5" s="1">
        <v>0.9</v>
      </c>
      <c r="I5" s="1">
        <v>0.03</v>
      </c>
      <c r="J5" s="1">
        <v>6.6000000000000008E-3</v>
      </c>
    </row>
    <row r="6" spans="1:11" x14ac:dyDescent="0.35">
      <c r="A6">
        <v>5</v>
      </c>
      <c r="B6" s="1">
        <v>45</v>
      </c>
      <c r="C6" s="1">
        <v>440</v>
      </c>
      <c r="D6" s="1">
        <v>14</v>
      </c>
      <c r="E6" s="1">
        <v>2.1999999999999999E-2</v>
      </c>
      <c r="F6" s="1">
        <v>6.0000000000000001E-3</v>
      </c>
      <c r="G6" s="1">
        <v>5.3999999999999999E-2</v>
      </c>
      <c r="H6" s="1">
        <v>0.9</v>
      </c>
      <c r="I6" s="1">
        <v>0.02</v>
      </c>
      <c r="J6" s="1">
        <v>4.4000000000000003E-3</v>
      </c>
    </row>
    <row r="7" spans="1:11" x14ac:dyDescent="0.35">
      <c r="A7">
        <v>6</v>
      </c>
      <c r="B7" s="1">
        <v>72</v>
      </c>
      <c r="C7">
        <v>520</v>
      </c>
      <c r="D7" s="1">
        <v>13</v>
      </c>
      <c r="E7" s="1">
        <v>3.3000000000000002E-2</v>
      </c>
      <c r="F7" s="1">
        <v>8.0000000000000002E-3</v>
      </c>
      <c r="G7" s="1">
        <v>7.2000000000000008E-2</v>
      </c>
      <c r="H7" s="1">
        <v>0.9</v>
      </c>
      <c r="I7" s="1">
        <v>0.03</v>
      </c>
      <c r="J7" s="1">
        <v>6.6000000000000008E-3</v>
      </c>
    </row>
    <row r="8" spans="1:11" x14ac:dyDescent="0.35">
      <c r="A8">
        <v>7</v>
      </c>
      <c r="B8" s="1">
        <v>84</v>
      </c>
      <c r="C8" s="1">
        <v>300</v>
      </c>
      <c r="D8" s="1">
        <v>14</v>
      </c>
      <c r="E8" s="1">
        <v>2.1999999999999999E-2</v>
      </c>
      <c r="F8" s="1">
        <v>6.0000000000000001E-3</v>
      </c>
      <c r="G8" s="1">
        <v>5.3999999999999999E-2</v>
      </c>
      <c r="H8" s="1">
        <v>0.9</v>
      </c>
      <c r="I8" s="1">
        <v>0.02</v>
      </c>
      <c r="J8" s="1">
        <v>4.4000000000000003E-3</v>
      </c>
    </row>
    <row r="9" spans="1:11" x14ac:dyDescent="0.35">
      <c r="A9" s="1"/>
      <c r="B9" s="1"/>
    </row>
    <row r="10" spans="1:11" x14ac:dyDescent="0.35">
      <c r="A10" s="1"/>
      <c r="B10" s="1"/>
    </row>
    <row r="11" spans="1:11" x14ac:dyDescent="0.35">
      <c r="A11" s="1"/>
      <c r="B11" s="1"/>
    </row>
    <row r="12" spans="1:11" x14ac:dyDescent="0.35">
      <c r="A12" s="1"/>
      <c r="B12" s="1"/>
    </row>
    <row r="13" spans="1:11" x14ac:dyDescent="0.35">
      <c r="A13" s="1"/>
      <c r="B13" s="1"/>
    </row>
    <row r="14" spans="1:11" x14ac:dyDescent="0.35">
      <c r="A14" s="1"/>
      <c r="B14" s="1"/>
    </row>
    <row r="15" spans="1:11" x14ac:dyDescent="0.35">
      <c r="A15" s="1"/>
      <c r="B15" s="1"/>
    </row>
    <row r="16" spans="1:11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85A3-A90D-432B-A869-A69BD096F2D2}">
  <dimension ref="A1:J39"/>
  <sheetViews>
    <sheetView topLeftCell="A2" zoomScaleNormal="100" workbookViewId="0">
      <selection activeCell="J9" sqref="J9"/>
    </sheetView>
  </sheetViews>
  <sheetFormatPr defaultRowHeight="14.15" x14ac:dyDescent="0.35"/>
  <cols>
    <col min="1" max="1" width="9.140625" style="1"/>
    <col min="2" max="2" width="12.5" style="1" customWidth="1"/>
    <col min="3" max="3" width="14.140625" style="1" customWidth="1"/>
    <col min="4" max="4" width="11.92578125" style="1" customWidth="1"/>
    <col min="5" max="5" width="14.140625" style="1" customWidth="1"/>
    <col min="6" max="6" width="13.2109375" style="1" customWidth="1"/>
    <col min="7" max="7" width="14.5703125" style="1" customWidth="1"/>
    <col min="8" max="8" width="12.640625" style="1" customWidth="1"/>
    <col min="9" max="16384" width="9.140625" style="1"/>
  </cols>
  <sheetData>
    <row r="1" spans="1:10" ht="56.6" x14ac:dyDescent="0.35">
      <c r="A1" t="s">
        <v>169</v>
      </c>
      <c r="B1" s="1" t="s">
        <v>0</v>
      </c>
      <c r="C1" s="1" t="s">
        <v>170</v>
      </c>
      <c r="D1" s="1" t="s">
        <v>173</v>
      </c>
      <c r="E1" s="1" t="s">
        <v>155</v>
      </c>
      <c r="F1" s="1" t="s">
        <v>184</v>
      </c>
      <c r="G1" s="1" t="s">
        <v>179</v>
      </c>
      <c r="H1" s="1" t="s">
        <v>185</v>
      </c>
      <c r="I1" s="1" t="s">
        <v>178</v>
      </c>
      <c r="J1" s="1" t="s">
        <v>180</v>
      </c>
    </row>
    <row r="2" spans="1:10" x14ac:dyDescent="0.35">
      <c r="A2">
        <v>1</v>
      </c>
      <c r="B2" s="1">
        <v>1</v>
      </c>
      <c r="C2" s="1">
        <v>1</v>
      </c>
      <c r="D2" s="1">
        <v>11</v>
      </c>
      <c r="E2" s="1">
        <v>0.4</v>
      </c>
      <c r="F2" s="1">
        <v>0.875</v>
      </c>
      <c r="G2" s="1">
        <v>45</v>
      </c>
      <c r="H2" s="1">
        <f>E2*0.2</f>
        <v>8.0000000000000016E-2</v>
      </c>
      <c r="I2" s="1">
        <v>4</v>
      </c>
      <c r="J2" s="1">
        <v>2</v>
      </c>
    </row>
    <row r="3" spans="1:10" x14ac:dyDescent="0.35">
      <c r="A3">
        <v>2</v>
      </c>
      <c r="B3" s="1">
        <v>4</v>
      </c>
      <c r="C3" s="1">
        <v>1</v>
      </c>
      <c r="D3" s="1">
        <v>11</v>
      </c>
      <c r="E3" s="1">
        <v>0.4</v>
      </c>
      <c r="F3" s="1">
        <v>0.875</v>
      </c>
      <c r="G3" s="1">
        <v>45</v>
      </c>
      <c r="H3" s="1">
        <f t="shared" ref="H3:H8" si="0">E3*0.2</f>
        <v>8.0000000000000016E-2</v>
      </c>
    </row>
    <row r="4" spans="1:10" x14ac:dyDescent="0.35">
      <c r="A4">
        <v>3</v>
      </c>
      <c r="B4" s="1">
        <v>8</v>
      </c>
      <c r="C4" s="1">
        <v>1</v>
      </c>
      <c r="D4" s="1">
        <v>11</v>
      </c>
      <c r="E4" s="1">
        <v>0.4</v>
      </c>
      <c r="F4" s="1">
        <v>0.875</v>
      </c>
      <c r="G4" s="1">
        <v>45</v>
      </c>
      <c r="H4" s="1">
        <f t="shared" si="0"/>
        <v>8.0000000000000016E-2</v>
      </c>
    </row>
    <row r="5" spans="1:10" x14ac:dyDescent="0.35">
      <c r="A5">
        <v>4</v>
      </c>
      <c r="B5" s="1">
        <v>20</v>
      </c>
      <c r="C5" s="1">
        <v>1</v>
      </c>
      <c r="D5" s="1">
        <v>11</v>
      </c>
      <c r="E5" s="1">
        <v>0.4</v>
      </c>
      <c r="F5" s="1">
        <v>0.875</v>
      </c>
      <c r="G5" s="1">
        <v>45</v>
      </c>
      <c r="H5" s="1">
        <f t="shared" si="0"/>
        <v>8.0000000000000016E-2</v>
      </c>
    </row>
    <row r="6" spans="1:10" x14ac:dyDescent="0.35">
      <c r="A6">
        <v>5</v>
      </c>
      <c r="B6" s="1">
        <v>45</v>
      </c>
      <c r="C6" s="1">
        <v>1</v>
      </c>
      <c r="D6" s="1">
        <v>11</v>
      </c>
      <c r="E6" s="1">
        <v>0.4</v>
      </c>
      <c r="F6" s="1">
        <v>0.875</v>
      </c>
      <c r="G6" s="1">
        <v>45</v>
      </c>
      <c r="H6" s="1">
        <f t="shared" si="0"/>
        <v>8.0000000000000016E-2</v>
      </c>
    </row>
    <row r="7" spans="1:10" x14ac:dyDescent="0.35">
      <c r="A7">
        <v>6</v>
      </c>
      <c r="B7" s="1">
        <v>72</v>
      </c>
      <c r="C7" s="1">
        <v>1</v>
      </c>
      <c r="D7" s="1">
        <v>11</v>
      </c>
      <c r="E7" s="1">
        <v>0.4</v>
      </c>
      <c r="F7" s="1">
        <v>0.875</v>
      </c>
      <c r="G7" s="1">
        <v>45</v>
      </c>
      <c r="H7" s="1">
        <f t="shared" si="0"/>
        <v>8.0000000000000016E-2</v>
      </c>
    </row>
    <row r="8" spans="1:10" x14ac:dyDescent="0.35">
      <c r="A8">
        <v>7</v>
      </c>
      <c r="B8" s="1">
        <v>84</v>
      </c>
      <c r="C8" s="1">
        <v>1</v>
      </c>
      <c r="D8" s="1">
        <v>11</v>
      </c>
      <c r="E8" s="1">
        <v>0.4</v>
      </c>
      <c r="F8" s="1">
        <v>0.875</v>
      </c>
      <c r="G8" s="1">
        <v>45</v>
      </c>
      <c r="H8" s="1">
        <f t="shared" si="0"/>
        <v>8.0000000000000016E-2</v>
      </c>
    </row>
    <row r="15" spans="1:10" ht="42.45" x14ac:dyDescent="0.35">
      <c r="A15" s="1" t="s">
        <v>3</v>
      </c>
      <c r="B15" s="1" t="s">
        <v>193</v>
      </c>
      <c r="C15" s="1" t="s">
        <v>194</v>
      </c>
      <c r="D15" s="1" t="s">
        <v>195</v>
      </c>
      <c r="E15" s="1" t="s">
        <v>196</v>
      </c>
      <c r="F15" s="1" t="s">
        <v>197</v>
      </c>
      <c r="G15" s="1" t="s">
        <v>198</v>
      </c>
      <c r="H15" s="1" t="s">
        <v>199</v>
      </c>
    </row>
    <row r="16" spans="1:10" x14ac:dyDescent="0.35">
      <c r="A16" s="1">
        <v>1</v>
      </c>
      <c r="B16" s="5">
        <v>-2.4972253442661798</v>
      </c>
      <c r="C16" s="1">
        <v>-2.4700000000000002</v>
      </c>
      <c r="D16" s="1">
        <v>-2.61</v>
      </c>
      <c r="E16" s="1">
        <v>-2.42</v>
      </c>
      <c r="F16" s="1">
        <v>-2.5499999999999998</v>
      </c>
      <c r="G16" s="1">
        <v>-2.38</v>
      </c>
      <c r="H16" s="1">
        <v>-2.63</v>
      </c>
    </row>
    <row r="17" spans="1:8" x14ac:dyDescent="0.35">
      <c r="A17" s="1">
        <v>2</v>
      </c>
      <c r="B17" s="5">
        <v>-2.3597551924170399</v>
      </c>
      <c r="C17" s="1">
        <v>-2.29</v>
      </c>
      <c r="D17" s="1">
        <v>-2.41</v>
      </c>
      <c r="E17" s="1">
        <v>-2.33</v>
      </c>
      <c r="F17" s="1">
        <v>-2.46</v>
      </c>
      <c r="G17" s="1">
        <v>-2.2799999999999998</v>
      </c>
      <c r="H17" s="1">
        <v>-2.5</v>
      </c>
    </row>
    <row r="18" spans="1:8" x14ac:dyDescent="0.35">
      <c r="A18" s="1">
        <v>3</v>
      </c>
      <c r="B18" s="5">
        <v>-2.3596681864256199</v>
      </c>
      <c r="C18" s="1">
        <v>-2.41</v>
      </c>
      <c r="D18" s="1">
        <v>-2.2999999999999998</v>
      </c>
      <c r="E18" s="1">
        <v>-2.4700000000000002</v>
      </c>
      <c r="F18" s="1">
        <v>-2.39</v>
      </c>
      <c r="G18" s="1">
        <v>-2.52</v>
      </c>
      <c r="H18" s="1">
        <v>-2.34</v>
      </c>
    </row>
    <row r="19" spans="1:8" x14ac:dyDescent="0.35">
      <c r="A19" s="1">
        <v>4</v>
      </c>
      <c r="B19" s="5">
        <v>-2.3483262814674299</v>
      </c>
      <c r="C19" s="1">
        <v>-2.44</v>
      </c>
      <c r="D19" s="1">
        <v>-2.2799999999999998</v>
      </c>
      <c r="E19" s="1">
        <v>-2.31</v>
      </c>
      <c r="F19" s="1">
        <v>-2.4</v>
      </c>
      <c r="G19" s="1">
        <v>-2.2200000000000002</v>
      </c>
      <c r="H19" s="1">
        <v>-2.48</v>
      </c>
    </row>
    <row r="20" spans="1:8" x14ac:dyDescent="0.35">
      <c r="A20" s="1">
        <v>5</v>
      </c>
      <c r="B20" s="5">
        <v>-2.58693266362063</v>
      </c>
      <c r="C20" s="1">
        <v>-2.67</v>
      </c>
      <c r="D20" s="1">
        <v>-2.48</v>
      </c>
      <c r="E20" s="1">
        <v>-2.61</v>
      </c>
      <c r="F20" s="1">
        <v>-2.52</v>
      </c>
      <c r="G20" s="1">
        <v>-2.73</v>
      </c>
      <c r="H20" s="1">
        <v>-2.5499999999999998</v>
      </c>
    </row>
    <row r="21" spans="1:8" x14ac:dyDescent="0.35">
      <c r="A21" s="1">
        <v>6</v>
      </c>
      <c r="B21" s="5">
        <v>-2.9381326807695198</v>
      </c>
      <c r="C21" s="1">
        <v>-3.05</v>
      </c>
      <c r="D21" s="1">
        <v>-2.82</v>
      </c>
      <c r="E21" s="1">
        <v>-2.9</v>
      </c>
      <c r="F21" s="1">
        <v>-3.01</v>
      </c>
      <c r="G21" s="1">
        <v>-2.87</v>
      </c>
      <c r="H21" s="1">
        <v>-3.1</v>
      </c>
    </row>
    <row r="22" spans="1:8" x14ac:dyDescent="0.35">
      <c r="A22" s="1">
        <v>7</v>
      </c>
      <c r="B22" s="5">
        <v>-4.5706300264858202</v>
      </c>
      <c r="C22" s="1">
        <v>-4.41</v>
      </c>
      <c r="D22" s="1">
        <v>-4.72</v>
      </c>
      <c r="E22" s="1">
        <v>-4.55</v>
      </c>
      <c r="F22" s="1">
        <v>-4.68</v>
      </c>
      <c r="G22" s="1">
        <v>-4.49</v>
      </c>
      <c r="H22" s="1">
        <v>-4.83</v>
      </c>
    </row>
    <row r="23" spans="1:8" x14ac:dyDescent="0.35">
      <c r="A23" s="1">
        <v>8</v>
      </c>
      <c r="B23" s="5">
        <v>-5.8113082915805796</v>
      </c>
      <c r="C23" s="1">
        <v>-5.64</v>
      </c>
      <c r="D23" s="1">
        <v>-5.93</v>
      </c>
      <c r="E23" s="1">
        <v>-5.75</v>
      </c>
      <c r="F23" s="1">
        <v>-5.88</v>
      </c>
      <c r="G23" s="1">
        <v>-5.69</v>
      </c>
      <c r="H23" s="1">
        <v>-6.02</v>
      </c>
    </row>
    <row r="24" spans="1:8" x14ac:dyDescent="0.35">
      <c r="A24" s="1">
        <v>9</v>
      </c>
      <c r="B24" s="5">
        <v>-6.9664041249203796</v>
      </c>
      <c r="C24" s="1">
        <v>-6.85</v>
      </c>
      <c r="D24" s="1">
        <v>-7.08</v>
      </c>
      <c r="E24" s="1">
        <v>-6.92</v>
      </c>
      <c r="F24" s="1">
        <v>-7.1</v>
      </c>
      <c r="G24" s="1">
        <v>-6.79</v>
      </c>
      <c r="H24" s="1">
        <v>-7.21</v>
      </c>
    </row>
    <row r="25" spans="1:8" x14ac:dyDescent="0.35">
      <c r="A25" s="1">
        <v>10</v>
      </c>
      <c r="B25" s="5">
        <v>-6.9775467326175802</v>
      </c>
      <c r="C25" s="1">
        <v>-7.05</v>
      </c>
      <c r="D25" s="1">
        <v>-6.86</v>
      </c>
      <c r="E25" s="1">
        <v>-7.11</v>
      </c>
      <c r="F25" s="1">
        <v>-6.94</v>
      </c>
      <c r="G25" s="1">
        <v>-7.22</v>
      </c>
      <c r="H25" s="1">
        <v>-6.9</v>
      </c>
    </row>
    <row r="26" spans="1:8" x14ac:dyDescent="0.35">
      <c r="A26" s="1">
        <v>11</v>
      </c>
      <c r="B26" s="5">
        <v>-6.8490771613514001</v>
      </c>
      <c r="C26" s="1">
        <v>-6.73</v>
      </c>
      <c r="D26" s="1">
        <v>-6.94</v>
      </c>
      <c r="E26" s="1">
        <v>-6.8</v>
      </c>
      <c r="F26" s="1">
        <v>-6.97</v>
      </c>
      <c r="G26" s="1">
        <v>-6.7</v>
      </c>
      <c r="H26" s="1">
        <v>-7.05</v>
      </c>
    </row>
    <row r="27" spans="1:8" x14ac:dyDescent="0.35">
      <c r="A27" s="1">
        <v>12</v>
      </c>
      <c r="B27" s="5">
        <v>-6.8241911283728403</v>
      </c>
      <c r="C27" s="1">
        <v>-6.9</v>
      </c>
      <c r="D27" s="1">
        <v>-6.71</v>
      </c>
      <c r="E27" s="1">
        <v>-6.88</v>
      </c>
      <c r="F27" s="1">
        <v>-6.75</v>
      </c>
      <c r="G27" s="1">
        <v>-6.96</v>
      </c>
      <c r="H27" s="1">
        <v>-6.79</v>
      </c>
    </row>
    <row r="28" spans="1:8" x14ac:dyDescent="0.35">
      <c r="A28" s="1">
        <v>13</v>
      </c>
      <c r="B28" s="5">
        <v>-5.62835230340092</v>
      </c>
      <c r="C28" s="1">
        <v>-5.72</v>
      </c>
      <c r="D28" s="1">
        <v>-5.51</v>
      </c>
      <c r="E28" s="1">
        <v>-5.68</v>
      </c>
      <c r="F28" s="1">
        <v>-5.56</v>
      </c>
      <c r="G28" s="1">
        <v>-5.79</v>
      </c>
      <c r="H28" s="1">
        <v>-5.6</v>
      </c>
    </row>
    <row r="29" spans="1:8" x14ac:dyDescent="0.35">
      <c r="A29" s="1">
        <v>14</v>
      </c>
      <c r="B29" s="5">
        <v>-5.3940490077264203</v>
      </c>
      <c r="C29" s="1">
        <v>-5.26</v>
      </c>
      <c r="D29" s="1">
        <v>-5.48</v>
      </c>
      <c r="E29" s="1">
        <v>-5.35</v>
      </c>
      <c r="F29" s="1">
        <v>-5.52</v>
      </c>
      <c r="G29" s="1">
        <v>-5.21</v>
      </c>
      <c r="H29" s="1">
        <v>-5.6</v>
      </c>
    </row>
    <row r="30" spans="1:8" x14ac:dyDescent="0.35">
      <c r="A30" s="1">
        <v>15</v>
      </c>
      <c r="B30" s="5">
        <v>-6.9589809066399804</v>
      </c>
      <c r="C30" s="1">
        <v>-7.08</v>
      </c>
      <c r="D30" s="1">
        <v>-6.82</v>
      </c>
      <c r="E30" s="1">
        <v>-7.01</v>
      </c>
      <c r="F30" s="1">
        <v>-6.89</v>
      </c>
      <c r="G30" s="1">
        <v>-7.16</v>
      </c>
      <c r="H30" s="1">
        <v>-6.75</v>
      </c>
    </row>
    <row r="31" spans="1:8" x14ac:dyDescent="0.35">
      <c r="A31" s="1">
        <v>16</v>
      </c>
      <c r="B31" s="5">
        <v>-6.92286107307641</v>
      </c>
      <c r="C31" s="1">
        <v>-6.8</v>
      </c>
      <c r="D31" s="1">
        <v>-7.03</v>
      </c>
      <c r="E31" s="1">
        <v>-6.88</v>
      </c>
      <c r="F31" s="1">
        <v>-7.07</v>
      </c>
      <c r="G31" s="1">
        <v>-6.76</v>
      </c>
      <c r="H31" s="1">
        <v>-7.15</v>
      </c>
    </row>
    <row r="32" spans="1:8" x14ac:dyDescent="0.35">
      <c r="A32" s="1">
        <v>17</v>
      </c>
      <c r="B32" s="5">
        <v>-7.0443745903248498</v>
      </c>
      <c r="C32" s="1">
        <v>-7.2</v>
      </c>
      <c r="D32" s="1">
        <v>-6.95</v>
      </c>
      <c r="E32" s="1">
        <v>-7.12</v>
      </c>
      <c r="F32" s="1">
        <v>-7</v>
      </c>
      <c r="G32" s="1">
        <v>-7.28</v>
      </c>
      <c r="H32" s="1">
        <v>-6.87</v>
      </c>
    </row>
    <row r="33" spans="1:8" x14ac:dyDescent="0.35">
      <c r="A33" s="1">
        <v>18</v>
      </c>
      <c r="B33" s="5">
        <v>-7.4518883091403199</v>
      </c>
      <c r="C33" s="1">
        <v>-7.58</v>
      </c>
      <c r="D33" s="1">
        <v>-7.31</v>
      </c>
      <c r="E33" s="1">
        <v>-7.4</v>
      </c>
      <c r="F33" s="1">
        <v>-7.52</v>
      </c>
      <c r="G33" s="1">
        <v>-7.29</v>
      </c>
      <c r="H33" s="1">
        <v>-7.66</v>
      </c>
    </row>
    <row r="34" spans="1:8" x14ac:dyDescent="0.35">
      <c r="A34" s="1">
        <v>19</v>
      </c>
      <c r="B34" s="5">
        <v>-5.2967967669968203</v>
      </c>
      <c r="C34" s="1">
        <v>-5.18</v>
      </c>
      <c r="D34" s="1">
        <v>-5.46</v>
      </c>
      <c r="E34" s="1">
        <v>-5.32</v>
      </c>
      <c r="F34" s="1">
        <v>-5.41</v>
      </c>
      <c r="G34" s="1">
        <v>-5.09</v>
      </c>
      <c r="H34" s="1">
        <v>-5.55</v>
      </c>
    </row>
    <row r="35" spans="1:8" x14ac:dyDescent="0.35">
      <c r="A35" s="1">
        <v>20</v>
      </c>
      <c r="B35" s="5">
        <v>-5.1751240284860698</v>
      </c>
      <c r="C35" s="1">
        <v>-5.25</v>
      </c>
      <c r="D35" s="1">
        <v>-5.04</v>
      </c>
      <c r="E35" s="1">
        <v>-5.1100000000000003</v>
      </c>
      <c r="F35" s="1">
        <v>-5.26</v>
      </c>
      <c r="G35" s="1">
        <v>-4.97</v>
      </c>
      <c r="H35" s="1">
        <v>-5.31</v>
      </c>
    </row>
    <row r="36" spans="1:8" x14ac:dyDescent="0.35">
      <c r="A36" s="1">
        <v>21</v>
      </c>
      <c r="B36" s="5">
        <v>-3.8667179414956498</v>
      </c>
      <c r="C36" s="1">
        <v>-3.96</v>
      </c>
      <c r="D36" s="1">
        <v>-3.72</v>
      </c>
      <c r="E36" s="1">
        <v>-3.81</v>
      </c>
      <c r="F36" s="1">
        <v>-3.95</v>
      </c>
      <c r="G36" s="1">
        <v>-3.65</v>
      </c>
      <c r="H36" s="1">
        <v>-4.08</v>
      </c>
    </row>
    <row r="37" spans="1:8" x14ac:dyDescent="0.35">
      <c r="A37" s="1">
        <v>22</v>
      </c>
      <c r="B37" s="5">
        <v>-3.3014243205615701</v>
      </c>
      <c r="C37" s="1">
        <v>-3.22</v>
      </c>
      <c r="D37" s="1">
        <v>-3.41</v>
      </c>
      <c r="E37" s="1">
        <v>-3.27</v>
      </c>
      <c r="F37" s="1">
        <v>-3.38</v>
      </c>
      <c r="G37" s="1">
        <v>-3.15</v>
      </c>
      <c r="H37" s="1">
        <v>-3.5</v>
      </c>
    </row>
    <row r="38" spans="1:8" x14ac:dyDescent="0.35">
      <c r="A38" s="1">
        <v>23</v>
      </c>
      <c r="B38" s="5">
        <v>-2.40284374995406</v>
      </c>
      <c r="C38" s="1">
        <v>-2.31</v>
      </c>
      <c r="D38" s="1">
        <v>-2.52</v>
      </c>
      <c r="E38" s="1">
        <v>-2.38</v>
      </c>
      <c r="F38" s="1">
        <v>-2.4700000000000002</v>
      </c>
      <c r="G38" s="1">
        <v>-2.2400000000000002</v>
      </c>
      <c r="H38" s="1">
        <v>-2.6</v>
      </c>
    </row>
    <row r="39" spans="1:8" x14ac:dyDescent="0.35">
      <c r="A39" s="1">
        <v>24</v>
      </c>
      <c r="B39" s="5">
        <v>-2.5108353252629398</v>
      </c>
      <c r="C39" s="1">
        <v>-2.6</v>
      </c>
      <c r="D39" s="1">
        <v>-2.42</v>
      </c>
      <c r="E39" s="1">
        <v>-2.5299999999999998</v>
      </c>
      <c r="F39" s="1">
        <v>-2.4700000000000002</v>
      </c>
      <c r="G39" s="1">
        <v>-2.66</v>
      </c>
      <c r="H39" s="1">
        <v>-2.35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Wind</vt:lpstr>
      <vt:lpstr>Load</vt:lpstr>
      <vt:lpstr>Generator</vt:lpstr>
      <vt:lpstr>Line</vt:lpstr>
      <vt:lpstr>VPP_SG</vt:lpstr>
      <vt:lpstr>VPP_AM</vt:lpstr>
      <vt:lpstr>VPP_ES</vt:lpstr>
      <vt:lpstr>VPP_PV</vt:lpstr>
      <vt:lpstr>VPP_EV</vt:lpstr>
      <vt:lpstr>VPP_AC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Li</dc:creator>
  <cp:lastModifiedBy>Jiajia Liu</cp:lastModifiedBy>
  <dcterms:created xsi:type="dcterms:W3CDTF">2015-06-05T18:19:34Z</dcterms:created>
  <dcterms:modified xsi:type="dcterms:W3CDTF">2026-02-28T14:04:24Z</dcterms:modified>
</cp:coreProperties>
</file>