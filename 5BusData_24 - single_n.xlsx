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iajia Liu\Desktop\VPP_inertia\github\"/>
    </mc:Choice>
  </mc:AlternateContent>
  <xr:revisionPtr revIDLastSave="0" documentId="13_ncr:1_{AEDB595D-2E5F-426C-A9BF-3BBA7A42B2AE}" xr6:coauthVersionLast="47" xr6:coauthVersionMax="47" xr10:uidLastSave="{00000000-0000-0000-0000-000000000000}"/>
  <bookViews>
    <workbookView xWindow="1886" yWindow="1886" windowWidth="18514" windowHeight="12720" tabRatio="679" firstSheet="2" activeTab="2" xr2:uid="{00000000-000D-0000-FFFF-FFFF00000000}"/>
  </bookViews>
  <sheets>
    <sheet name="Wind" sheetId="9" r:id="rId1"/>
    <sheet name="Load" sheetId="14" r:id="rId2"/>
    <sheet name="Generator" sheetId="4" r:id="rId3"/>
    <sheet name="Line" sheetId="5" r:id="rId4"/>
    <sheet name="VPP_SG" sheetId="13" r:id="rId5"/>
    <sheet name="VPP_AM" sheetId="12" r:id="rId6"/>
    <sheet name="VPP_ES" sheetId="17" r:id="rId7"/>
    <sheet name="VPP_PV" sheetId="15" r:id="rId8"/>
    <sheet name="VPP_EV" sheetId="11" r:id="rId9"/>
    <sheet name="VPP_AC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9" l="1"/>
  <c r="D3" i="9"/>
  <c r="D2" i="9"/>
  <c r="I2" i="16"/>
  <c r="D2" i="13"/>
  <c r="H2" i="13" s="1"/>
  <c r="I2" i="11"/>
  <c r="J2" i="4"/>
  <c r="I2" i="4"/>
  <c r="H2" i="4"/>
  <c r="G3" i="4"/>
  <c r="G4" i="4"/>
  <c r="G5" i="4"/>
  <c r="G2" i="4"/>
  <c r="F3" i="4"/>
  <c r="F4" i="4"/>
  <c r="F5" i="4"/>
  <c r="F2" i="4"/>
  <c r="J5" i="4"/>
  <c r="I5" i="4"/>
  <c r="H5" i="4"/>
  <c r="E5" i="4"/>
  <c r="J4" i="4"/>
  <c r="I4" i="4"/>
  <c r="H4" i="4"/>
  <c r="E4" i="4"/>
  <c r="J3" i="4"/>
  <c r="I3" i="4"/>
  <c r="H3" i="4"/>
  <c r="E3" i="4"/>
  <c r="E2" i="4"/>
  <c r="E2" i="13" l="1"/>
  <c r="F2" i="13"/>
  <c r="G2" i="13"/>
</calcChain>
</file>

<file path=xl/sharedStrings.xml><?xml version="1.0" encoding="utf-8"?>
<sst xmlns="http://schemas.openxmlformats.org/spreadsheetml/2006/main" count="91" uniqueCount="56">
  <si>
    <t>Bus</t>
  </si>
  <si>
    <t>Maximum PFR reserve (MW)</t>
  </si>
  <si>
    <t>Upward regulation reserve capacity (MW)</t>
  </si>
  <si>
    <t>Downward regulation reserve capacity (MW)</t>
  </si>
  <si>
    <t>Generation cost ($/MWh)</t>
  </si>
  <si>
    <t>Cost of upward regulation reserve capacity ($/MWh)</t>
  </si>
  <si>
    <t>Cost of downward regulation reserve capacity ($/MWh)</t>
  </si>
  <si>
    <t>No.</t>
  </si>
  <si>
    <t>Capacity (MW)</t>
  </si>
  <si>
    <t>To</t>
  </si>
  <si>
    <t>R(p.u.)</t>
  </si>
  <si>
    <t>X(p.u.)</t>
  </si>
  <si>
    <t>B(p.u.)</t>
  </si>
  <si>
    <t>Capacity(MW)</t>
  </si>
  <si>
    <t>Time</t>
  </si>
  <si>
    <t>WF 2 (MW)</t>
  </si>
  <si>
    <t>Inertia constant (s)</t>
    <phoneticPr fontId="2" type="noConversion"/>
  </si>
  <si>
    <t>From</t>
    <phoneticPr fontId="2" type="noConversion"/>
  </si>
  <si>
    <t>WF3 (MW)</t>
    <phoneticPr fontId="2" type="noConversion"/>
  </si>
  <si>
    <t>Number of units</t>
    <phoneticPr fontId="2" type="noConversion"/>
  </si>
  <si>
    <t>PFR reserve cost ($/MWh)</t>
    <phoneticPr fontId="2" type="noConversion"/>
  </si>
  <si>
    <t>WF1 (MW)</t>
    <phoneticPr fontId="2" type="noConversion"/>
  </si>
  <si>
    <t>Load1 (MW)</t>
    <phoneticPr fontId="2" type="noConversion"/>
  </si>
  <si>
    <t>Load2 (MW)</t>
    <phoneticPr fontId="2" type="noConversion"/>
  </si>
  <si>
    <t>Load3 (MW)</t>
    <phoneticPr fontId="2" type="noConversion"/>
  </si>
  <si>
    <t>No-load cost ($)</t>
    <phoneticPr fontId="2" type="noConversion"/>
  </si>
  <si>
    <t>Start-up cost ($)</t>
    <phoneticPr fontId="2" type="noConversion"/>
  </si>
  <si>
    <t>Shut-down cost ($)</t>
    <phoneticPr fontId="2" type="noConversion"/>
  </si>
  <si>
    <t>No.</t>
    <phoneticPr fontId="2" type="noConversion"/>
  </si>
  <si>
    <t>Min stable generation (MW)</t>
    <phoneticPr fontId="2" type="noConversion"/>
  </si>
  <si>
    <t>Maximum power limit (MW)</t>
    <phoneticPr fontId="2" type="noConversion"/>
  </si>
  <si>
    <t>Generation cost ($/MWh)</t>
    <phoneticPr fontId="2" type="noConversion"/>
  </si>
  <si>
    <t>EFR Cost ($/MWh)</t>
    <phoneticPr fontId="2" type="noConversion"/>
  </si>
  <si>
    <t>Charging/discharging power capacity (MW)</t>
    <phoneticPr fontId="2" type="noConversion"/>
  </si>
  <si>
    <t>Initial energy level (MWh)</t>
    <phoneticPr fontId="2" type="noConversion"/>
  </si>
  <si>
    <t>Maximum PFR reserve (MW)</t>
    <phoneticPr fontId="2" type="noConversion"/>
  </si>
  <si>
    <t>PFR capacity  (MW)</t>
    <phoneticPr fontId="2" type="noConversion"/>
  </si>
  <si>
    <t>No. VPP</t>
    <phoneticPr fontId="2" type="noConversion"/>
  </si>
  <si>
    <t>PV1 (MW)</t>
    <phoneticPr fontId="2" type="noConversion"/>
  </si>
  <si>
    <t>Natural dissipation rate</t>
    <phoneticPr fontId="2" type="noConversion"/>
  </si>
  <si>
    <t>EFR capacity (MW)</t>
    <phoneticPr fontId="2" type="noConversion"/>
  </si>
  <si>
    <t>Energy coupling
efficiency</t>
    <phoneticPr fontId="2" type="noConversion"/>
  </si>
  <si>
    <t>Environmental disturbance term</t>
  </si>
  <si>
    <t>EFR reserve cost ($/MWh)</t>
    <phoneticPr fontId="2" type="noConversion"/>
  </si>
  <si>
    <t>Maximum power
output (MW)</t>
    <phoneticPr fontId="2" type="noConversion"/>
  </si>
  <si>
    <t>Max energy capacity (MWh)</t>
    <phoneticPr fontId="2" type="noConversion"/>
  </si>
  <si>
    <t>Min energy capacity (MWh)</t>
    <phoneticPr fontId="2" type="noConversion"/>
  </si>
  <si>
    <t>PFR  capacity  (MW)</t>
    <phoneticPr fontId="2" type="noConversion"/>
  </si>
  <si>
    <t>Inertia of WF1 (MWs)</t>
    <phoneticPr fontId="2" type="noConversion"/>
  </si>
  <si>
    <t>Inertia of WF2(MWs)</t>
    <phoneticPr fontId="2" type="noConversion"/>
  </si>
  <si>
    <t>Inertia of WF3 (MWs)</t>
    <phoneticPr fontId="2" type="noConversion"/>
  </si>
  <si>
    <t>Virtual Inertia control cost ($/(MWs))</t>
    <phoneticPr fontId="2" type="noConversion"/>
  </si>
  <si>
    <t>Ramp-up limit (MW/h)</t>
    <phoneticPr fontId="2" type="noConversion"/>
  </si>
  <si>
    <t>Ramp-down limit (MW/h)</t>
    <phoneticPr fontId="2" type="noConversion"/>
  </si>
  <si>
    <t>Cost of upward regulation reserve ($/MWh)</t>
    <phoneticPr fontId="2" type="noConversion"/>
  </si>
  <si>
    <t>Cost of downward regulation reserve  ($/MWh)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</si>
</sst>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>
      <alignment wrapText="1"/>
    </xf>
  </cellStyleXfs>
  <cellXfs count="8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 applyAlignment="1">
      <alignment wrapText="1"/>
    </xf>
    <xf numFmtId="177" fontId="0" fillId="0" borderId="0" xfId="0" applyNumberFormat="1"/>
    <xf numFmtId="2" fontId="0" fillId="0" borderId="0" xfId="0" applyNumberFormat="1" applyAlignment="1">
      <alignment wrapText="1"/>
    </xf>
    <xf numFmtId="2" fontId="0" fillId="0" borderId="0" xfId="0" applyNumberFormat="1"/>
    <xf numFmtId="0" fontId="3" fillId="0" borderId="0" xfId="0" applyFont="1"/>
    <xf numFmtId="0" fontId="0" fillId="0" borderId="0" xfId="0" applyFill="1" applyAlignment="1">
      <alignment wrapText="1"/>
    </xf>
  </cellXfs>
  <cellStyles count="2">
    <cellStyle name="常规" xfId="0" builtinId="0" customBuiltin="1"/>
    <cellStyle name="样式 1" xfId="1" xr:uid="{AE2056A5-6832-4194-9C26-C936287813B1}"/>
  </cellStyles>
  <dxfs count="2"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/>
      </border>
    </dxf>
  </dxfs>
  <tableStyles count="1" defaultTableStyle="TableStyleMedium2" defaultPivotStyle="PivotStyleLight16">
    <tableStyle name="表样式 1" pivot="0" count="2" xr9:uid="{6250F61D-552B-4C7F-86B1-034B2E1A6D16}">
      <tableStyleElement type="wholeTable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ADCB-C6E3-446F-BFBE-0BC54C18EB96}">
  <dimension ref="A1:G30"/>
  <sheetViews>
    <sheetView workbookViewId="0">
      <selection activeCell="H21" sqref="H21"/>
    </sheetView>
  </sheetViews>
  <sheetFormatPr defaultRowHeight="14.15" x14ac:dyDescent="0.35"/>
  <cols>
    <col min="1" max="7" width="13.640625" customWidth="1"/>
  </cols>
  <sheetData>
    <row r="1" spans="1:7" ht="42.45" x14ac:dyDescent="0.35">
      <c r="A1" s="1" t="s">
        <v>7</v>
      </c>
      <c r="B1" s="1" t="s">
        <v>0</v>
      </c>
      <c r="C1" s="1" t="s">
        <v>8</v>
      </c>
      <c r="D1" s="1" t="s">
        <v>51</v>
      </c>
      <c r="E1" s="1" t="s">
        <v>32</v>
      </c>
    </row>
    <row r="2" spans="1:7" x14ac:dyDescent="0.35">
      <c r="A2" s="1">
        <v>1</v>
      </c>
      <c r="B2" s="1">
        <v>2</v>
      </c>
      <c r="C2" s="1">
        <v>180</v>
      </c>
      <c r="D2" s="1">
        <f>5/50</f>
        <v>0.1</v>
      </c>
      <c r="E2" s="1">
        <v>10</v>
      </c>
    </row>
    <row r="3" spans="1:7" x14ac:dyDescent="0.35">
      <c r="A3" s="1">
        <v>2</v>
      </c>
      <c r="B3" s="1">
        <v>3</v>
      </c>
      <c r="C3" s="1">
        <v>160</v>
      </c>
      <c r="D3" s="1">
        <f>4/50</f>
        <v>0.08</v>
      </c>
      <c r="E3" s="1">
        <v>9</v>
      </c>
    </row>
    <row r="4" spans="1:7" x14ac:dyDescent="0.35">
      <c r="A4" s="1">
        <v>3</v>
      </c>
      <c r="B4" s="1">
        <v>5</v>
      </c>
      <c r="C4" s="1">
        <v>100</v>
      </c>
      <c r="D4" s="1">
        <f>3/50</f>
        <v>0.06</v>
      </c>
      <c r="E4" s="1">
        <v>8</v>
      </c>
    </row>
    <row r="6" spans="1:7" s="1" customFormat="1" ht="29.9" customHeight="1" x14ac:dyDescent="0.35">
      <c r="A6" s="1" t="s">
        <v>14</v>
      </c>
      <c r="B6" s="1" t="s">
        <v>21</v>
      </c>
      <c r="C6" s="1" t="s">
        <v>15</v>
      </c>
      <c r="D6" s="1" t="s">
        <v>18</v>
      </c>
      <c r="E6" s="1" t="s">
        <v>48</v>
      </c>
      <c r="F6" s="1" t="s">
        <v>49</v>
      </c>
      <c r="G6" s="1" t="s">
        <v>50</v>
      </c>
    </row>
    <row r="7" spans="1:7" s="1" customFormat="1" x14ac:dyDescent="0.35">
      <c r="A7" s="1">
        <v>1</v>
      </c>
      <c r="B7" s="4">
        <v>95.932172744651794</v>
      </c>
      <c r="C7" s="4">
        <v>64.030435102412397</v>
      </c>
      <c r="D7" s="4">
        <v>17.925937050523402</v>
      </c>
      <c r="E7" s="4">
        <v>532.49137949365502</v>
      </c>
      <c r="F7" s="5">
        <v>383.77491434070402</v>
      </c>
      <c r="G7" s="4">
        <v>129.60993234525401</v>
      </c>
    </row>
    <row r="8" spans="1:7" s="1" customFormat="1" x14ac:dyDescent="0.35">
      <c r="A8" s="1">
        <v>2</v>
      </c>
      <c r="B8" s="4">
        <v>111.14381781520299</v>
      </c>
      <c r="C8" s="4">
        <v>66.2614990623577</v>
      </c>
      <c r="D8" s="4">
        <v>19.666873736913999</v>
      </c>
      <c r="E8" s="4">
        <v>592.22972737687508</v>
      </c>
      <c r="F8" s="5">
        <v>393.60244593096348</v>
      </c>
      <c r="G8" s="4">
        <v>139.53360887883298</v>
      </c>
    </row>
    <row r="9" spans="1:7" s="1" customFormat="1" x14ac:dyDescent="0.35">
      <c r="A9" s="1">
        <v>3</v>
      </c>
      <c r="B9" s="4">
        <v>113.87674159308099</v>
      </c>
      <c r="C9" s="4">
        <v>65.038241019572197</v>
      </c>
      <c r="D9" s="4">
        <v>20.2182497496586</v>
      </c>
      <c r="E9" s="4">
        <v>602.66501787044001</v>
      </c>
      <c r="F9" s="5">
        <v>388.22806530189848</v>
      </c>
      <c r="G9" s="4">
        <v>142.61470948856649</v>
      </c>
    </row>
    <row r="10" spans="1:7" s="1" customFormat="1" x14ac:dyDescent="0.35">
      <c r="A10" s="1">
        <v>4</v>
      </c>
      <c r="B10" s="4">
        <v>121.38275830678199</v>
      </c>
      <c r="C10" s="4">
        <v>86.737624032772004</v>
      </c>
      <c r="D10" s="4">
        <v>26.403900955848901</v>
      </c>
      <c r="E10" s="4">
        <v>630.90555210764001</v>
      </c>
      <c r="F10" s="5">
        <v>479.20633352326394</v>
      </c>
      <c r="G10" s="4">
        <v>175.4706066799375</v>
      </c>
    </row>
    <row r="11" spans="1:7" s="1" customFormat="1" x14ac:dyDescent="0.35">
      <c r="A11" s="1">
        <v>5</v>
      </c>
      <c r="B11" s="4">
        <v>119.160461838871</v>
      </c>
      <c r="C11" s="4">
        <v>95.616376877560299</v>
      </c>
      <c r="D11" s="4">
        <v>27.952890304961301</v>
      </c>
      <c r="E11" s="4">
        <v>622.60666136724501</v>
      </c>
      <c r="F11" s="5">
        <v>514.175507000425</v>
      </c>
      <c r="G11" s="4">
        <v>183.2781092501115</v>
      </c>
    </row>
    <row r="12" spans="1:7" s="1" customFormat="1" x14ac:dyDescent="0.35">
      <c r="A12" s="1">
        <v>6</v>
      </c>
      <c r="B12" s="4">
        <v>109.34637878015501</v>
      </c>
      <c r="C12" s="4">
        <v>97.727426636322207</v>
      </c>
      <c r="D12" s="4">
        <v>22.8702719617661</v>
      </c>
      <c r="E12" s="4">
        <v>585.31980942522</v>
      </c>
      <c r="F12" s="5">
        <v>522.32794911407996</v>
      </c>
      <c r="G12" s="4">
        <v>157.06137101390001</v>
      </c>
    </row>
    <row r="13" spans="1:7" s="1" customFormat="1" x14ac:dyDescent="0.35">
      <c r="A13" s="1">
        <v>7</v>
      </c>
      <c r="B13" s="4">
        <v>107.863401219845</v>
      </c>
      <c r="C13" s="4">
        <v>101.22377030496099</v>
      </c>
      <c r="D13" s="4">
        <v>25.372861492944899</v>
      </c>
      <c r="E13" s="4">
        <v>579.59023147391497</v>
      </c>
      <c r="F13" s="5">
        <v>535.70223810706</v>
      </c>
      <c r="G13" s="4">
        <v>170.18900968815601</v>
      </c>
    </row>
    <row r="14" spans="1:7" s="1" customFormat="1" x14ac:dyDescent="0.35">
      <c r="A14" s="1">
        <v>8</v>
      </c>
      <c r="B14" s="4">
        <v>86.179765289030499</v>
      </c>
      <c r="C14" s="4">
        <v>105.36048</v>
      </c>
      <c r="D14" s="4">
        <v>34.0743428311334</v>
      </c>
      <c r="E14" s="4">
        <v>492.52411780272149</v>
      </c>
      <c r="F14" s="5">
        <v>551.32883395787508</v>
      </c>
      <c r="G14" s="4">
        <v>212.82398930003802</v>
      </c>
    </row>
    <row r="15" spans="1:7" s="1" customFormat="1" x14ac:dyDescent="0.35">
      <c r="A15" s="1">
        <v>9</v>
      </c>
      <c r="B15" s="4">
        <v>55.263861602184797</v>
      </c>
      <c r="C15" s="4">
        <v>89.466065434683699</v>
      </c>
      <c r="D15" s="4">
        <v>44.031027264451502</v>
      </c>
      <c r="E15" s="4">
        <v>354.22144237542199</v>
      </c>
      <c r="F15" s="5">
        <v>490.07424728498899</v>
      </c>
      <c r="G15" s="4">
        <v>257.348834253468</v>
      </c>
    </row>
    <row r="16" spans="1:7" s="1" customFormat="1" x14ac:dyDescent="0.35">
      <c r="A16" s="1">
        <v>10</v>
      </c>
      <c r="B16" s="4">
        <v>43.864232608101901</v>
      </c>
      <c r="C16" s="4">
        <v>71.956153736914004</v>
      </c>
      <c r="D16" s="4">
        <v>38.778852617205303</v>
      </c>
      <c r="E16" s="4">
        <v>296.95956569045353</v>
      </c>
      <c r="F16" s="5">
        <v>418.20025168277948</v>
      </c>
      <c r="G16" s="4">
        <v>234.33634792569501</v>
      </c>
    </row>
    <row r="17" spans="1:7" s="1" customFormat="1" x14ac:dyDescent="0.35">
      <c r="A17" s="1">
        <v>11</v>
      </c>
      <c r="B17" s="4">
        <v>37.695920182066402</v>
      </c>
      <c r="C17" s="4">
        <v>52.561439999999997</v>
      </c>
      <c r="D17" s="4">
        <v>45.927493263541201</v>
      </c>
      <c r="E17" s="4">
        <v>263.91213200862501</v>
      </c>
      <c r="F17" s="5">
        <v>331.31304062763797</v>
      </c>
      <c r="G17" s="4">
        <v>265.42987759064897</v>
      </c>
    </row>
    <row r="18" spans="1:7" s="1" customFormat="1" x14ac:dyDescent="0.35">
      <c r="A18" s="1">
        <v>12</v>
      </c>
      <c r="B18" s="4">
        <v>30.4529324624488</v>
      </c>
      <c r="C18" s="4">
        <v>49.2916633227128</v>
      </c>
      <c r="D18" s="4">
        <v>42.578122530723697</v>
      </c>
      <c r="E18" s="4">
        <v>222.69515991520402</v>
      </c>
      <c r="F18" s="5">
        <v>315.67717220845003</v>
      </c>
      <c r="G18" s="4">
        <v>251.0791291944245</v>
      </c>
    </row>
    <row r="19" spans="1:7" s="1" customFormat="1" x14ac:dyDescent="0.35">
      <c r="A19" s="1">
        <v>13</v>
      </c>
      <c r="B19" s="4">
        <v>26.5651736640874</v>
      </c>
      <c r="C19" s="4">
        <v>39.134659772416903</v>
      </c>
      <c r="D19" s="4">
        <v>37.926154802002699</v>
      </c>
      <c r="E19" s="4">
        <v>199.228143876491</v>
      </c>
      <c r="F19" s="5">
        <v>264.71745457183096</v>
      </c>
      <c r="G19" s="4">
        <v>230.50474881326147</v>
      </c>
    </row>
    <row r="20" spans="1:7" s="1" customFormat="1" x14ac:dyDescent="0.35">
      <c r="A20" s="1">
        <v>14</v>
      </c>
      <c r="B20" s="4">
        <v>27.742192598998599</v>
      </c>
      <c r="C20" s="4">
        <v>32.860639999999997</v>
      </c>
      <c r="D20" s="4">
        <v>38.168493718707303</v>
      </c>
      <c r="E20" s="4">
        <v>206.44683835497148</v>
      </c>
      <c r="F20" s="5">
        <v>231.02094110388299</v>
      </c>
      <c r="G20" s="4">
        <v>231.59659373919749</v>
      </c>
    </row>
    <row r="21" spans="1:7" s="1" customFormat="1" x14ac:dyDescent="0.35">
      <c r="A21" s="1">
        <v>15</v>
      </c>
      <c r="B21" s="4">
        <v>37.113003987255297</v>
      </c>
      <c r="C21" s="4">
        <v>35.498836813837102</v>
      </c>
      <c r="D21" s="4">
        <v>46.340838233955402</v>
      </c>
      <c r="E21" s="4">
        <v>260.69918706733597</v>
      </c>
      <c r="F21" s="5">
        <v>245.43051235572452</v>
      </c>
      <c r="G21" s="4">
        <v>267.17630789017551</v>
      </c>
    </row>
    <row r="22" spans="1:7" s="1" customFormat="1" x14ac:dyDescent="0.35">
      <c r="A22" s="1">
        <v>16</v>
      </c>
      <c r="B22" s="4">
        <v>37.403705052344101</v>
      </c>
      <c r="C22" s="4">
        <v>30.846772944924901</v>
      </c>
      <c r="D22" s="4">
        <v>56.387493126991401</v>
      </c>
      <c r="E22" s="4">
        <v>262.30357321009649</v>
      </c>
      <c r="F22" s="5">
        <v>219.76033407155651</v>
      </c>
      <c r="G22" s="4">
        <v>308.16106009940199</v>
      </c>
    </row>
    <row r="23" spans="1:7" s="1" customFormat="1" x14ac:dyDescent="0.35">
      <c r="A23" s="1">
        <v>17</v>
      </c>
      <c r="B23" s="4">
        <v>42.899039999999999</v>
      </c>
      <c r="C23" s="4">
        <v>28.799046263086002</v>
      </c>
      <c r="D23" s="4">
        <v>70.863116932180205</v>
      </c>
      <c r="E23" s="4">
        <v>291.89604791609753</v>
      </c>
      <c r="F23" s="5">
        <v>208.0560346425755</v>
      </c>
      <c r="G23" s="4">
        <v>363.16043010132648</v>
      </c>
    </row>
    <row r="24" spans="1:7" s="1" customFormat="1" x14ac:dyDescent="0.35">
      <c r="A24" s="1">
        <v>18</v>
      </c>
      <c r="B24" s="4">
        <v>56.597760000000001</v>
      </c>
      <c r="C24" s="4">
        <v>29.5110787437415</v>
      </c>
      <c r="D24" s="4">
        <v>73.274485571233498</v>
      </c>
      <c r="E24" s="4">
        <v>360.65098333179651</v>
      </c>
      <c r="F24" s="5">
        <v>212.15636437717299</v>
      </c>
      <c r="G24" s="4">
        <v>371.94126258291749</v>
      </c>
    </row>
    <row r="25" spans="1:7" s="1" customFormat="1" x14ac:dyDescent="0.35">
      <c r="A25" s="1">
        <v>19</v>
      </c>
      <c r="B25" s="4">
        <v>86.689201010468807</v>
      </c>
      <c r="C25" s="4">
        <v>40.596578388711897</v>
      </c>
      <c r="D25" s="4">
        <v>67.612481611288104</v>
      </c>
      <c r="E25" s="4">
        <v>494.64799958858697</v>
      </c>
      <c r="F25" s="5">
        <v>272.30241550105001</v>
      </c>
      <c r="G25" s="4">
        <v>351.16404476859253</v>
      </c>
    </row>
    <row r="26" spans="1:7" s="1" customFormat="1" x14ac:dyDescent="0.35">
      <c r="A26" s="1">
        <v>20</v>
      </c>
      <c r="B26" s="4">
        <v>90.837149522075606</v>
      </c>
      <c r="C26" s="4">
        <v>39.715139772416897</v>
      </c>
      <c r="D26" s="4">
        <v>54.672601137915301</v>
      </c>
      <c r="E26" s="4">
        <v>511.78926948315001</v>
      </c>
      <c r="F26" s="5">
        <v>267.74031186147101</v>
      </c>
      <c r="G26" s="4">
        <v>301.34948932605454</v>
      </c>
    </row>
    <row r="27" spans="1:7" s="1" customFormat="1" x14ac:dyDescent="0.35">
      <c r="A27" s="1">
        <v>21</v>
      </c>
      <c r="B27" s="4">
        <v>81.439307492034601</v>
      </c>
      <c r="C27" s="4">
        <v>43.318949185252599</v>
      </c>
      <c r="D27" s="4">
        <v>53.295651524806502</v>
      </c>
      <c r="E27" s="4">
        <v>472.55535204342846</v>
      </c>
      <c r="F27" s="5">
        <v>286.189013896647</v>
      </c>
      <c r="G27" s="4">
        <v>295.82854416314149</v>
      </c>
    </row>
    <row r="28" spans="1:7" s="1" customFormat="1" x14ac:dyDescent="0.35">
      <c r="A28" s="1">
        <v>22</v>
      </c>
      <c r="B28" s="4">
        <v>71.584026800182102</v>
      </c>
      <c r="C28" s="4">
        <v>34.162762530723697</v>
      </c>
      <c r="D28" s="4">
        <v>45.653300000000002</v>
      </c>
      <c r="E28" s="4">
        <v>429.750162848348</v>
      </c>
      <c r="F28" s="5">
        <v>238.17936388793802</v>
      </c>
      <c r="G28" s="4">
        <v>264.26848840191451</v>
      </c>
    </row>
    <row r="29" spans="1:7" s="1" customFormat="1" x14ac:dyDescent="0.35">
      <c r="A29" s="1">
        <v>23</v>
      </c>
      <c r="B29" s="4">
        <v>66.969534592626303</v>
      </c>
      <c r="C29" s="4">
        <v>28.098559999999999</v>
      </c>
      <c r="D29" s="4">
        <v>40.775664269458403</v>
      </c>
      <c r="E29" s="4">
        <v>409.03762119842497</v>
      </c>
      <c r="F29" s="5">
        <v>203.98908615412151</v>
      </c>
      <c r="G29" s="4">
        <v>243.200923290406</v>
      </c>
    </row>
    <row r="30" spans="1:7" s="1" customFormat="1" x14ac:dyDescent="0.35">
      <c r="A30" s="1">
        <v>24</v>
      </c>
      <c r="B30" s="4">
        <v>55.453121238051899</v>
      </c>
      <c r="C30" s="4">
        <v>22.899007737824299</v>
      </c>
      <c r="D30" s="4">
        <v>42.578122530723697</v>
      </c>
      <c r="E30" s="4">
        <v>355.13681873450651</v>
      </c>
      <c r="F30" s="5">
        <v>172.65522310764649</v>
      </c>
      <c r="G30" s="4">
        <v>251.0791291944245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5A4C-3309-4369-924C-52B07E6B897C}">
  <dimension ref="A1:D25"/>
  <sheetViews>
    <sheetView workbookViewId="0">
      <selection activeCell="F16" sqref="F16"/>
    </sheetView>
  </sheetViews>
  <sheetFormatPr defaultRowHeight="14.15" x14ac:dyDescent="0.35"/>
  <sheetData>
    <row r="1" spans="1:4" ht="28.3" x14ac:dyDescent="0.35">
      <c r="A1" s="1" t="s">
        <v>14</v>
      </c>
      <c r="B1" s="1" t="s">
        <v>22</v>
      </c>
      <c r="C1" s="1" t="s">
        <v>23</v>
      </c>
      <c r="D1" s="1" t="s">
        <v>24</v>
      </c>
    </row>
    <row r="2" spans="1:4" x14ac:dyDescent="0.35">
      <c r="A2" s="1">
        <v>1</v>
      </c>
      <c r="B2" s="2">
        <v>108</v>
      </c>
      <c r="C2" s="2">
        <v>108</v>
      </c>
      <c r="D2" s="2">
        <v>144</v>
      </c>
    </row>
    <row r="3" spans="1:4" x14ac:dyDescent="0.35">
      <c r="A3" s="1">
        <v>2</v>
      </c>
      <c r="B3" s="2">
        <v>103.8</v>
      </c>
      <c r="C3" s="2">
        <v>103.8</v>
      </c>
      <c r="D3" s="2">
        <v>138.4</v>
      </c>
    </row>
    <row r="4" spans="1:4" x14ac:dyDescent="0.35">
      <c r="A4" s="1">
        <v>3</v>
      </c>
      <c r="B4" s="2">
        <v>100.5</v>
      </c>
      <c r="C4" s="2">
        <v>100.5</v>
      </c>
      <c r="D4" s="2">
        <v>134</v>
      </c>
    </row>
    <row r="5" spans="1:4" x14ac:dyDescent="0.35">
      <c r="A5" s="1">
        <v>4</v>
      </c>
      <c r="B5" s="2">
        <v>99.3</v>
      </c>
      <c r="C5" s="2">
        <v>99.3</v>
      </c>
      <c r="D5" s="2">
        <v>132.4</v>
      </c>
    </row>
    <row r="6" spans="1:4" x14ac:dyDescent="0.35">
      <c r="A6" s="1">
        <v>5</v>
      </c>
      <c r="B6" s="2">
        <v>101.1</v>
      </c>
      <c r="C6" s="2">
        <v>101.1</v>
      </c>
      <c r="D6" s="2">
        <v>134.80000000000001</v>
      </c>
    </row>
    <row r="7" spans="1:4" x14ac:dyDescent="0.35">
      <c r="A7" s="1">
        <v>6</v>
      </c>
      <c r="B7" s="2">
        <v>103.5</v>
      </c>
      <c r="C7" s="2">
        <v>103.5</v>
      </c>
      <c r="D7" s="2">
        <v>138</v>
      </c>
    </row>
    <row r="8" spans="1:4" x14ac:dyDescent="0.35">
      <c r="A8" s="1">
        <v>7</v>
      </c>
      <c r="B8" s="2">
        <v>108</v>
      </c>
      <c r="C8" s="2">
        <v>108</v>
      </c>
      <c r="D8" s="2">
        <v>144</v>
      </c>
    </row>
    <row r="9" spans="1:4" x14ac:dyDescent="0.35">
      <c r="A9" s="1">
        <v>8</v>
      </c>
      <c r="B9" s="2">
        <v>119.1</v>
      </c>
      <c r="C9" s="2">
        <v>119.1</v>
      </c>
      <c r="D9" s="2">
        <v>158.80000000000001</v>
      </c>
    </row>
    <row r="10" spans="1:4" x14ac:dyDescent="0.35">
      <c r="A10" s="1">
        <v>9</v>
      </c>
      <c r="B10" s="2">
        <v>130.79999999999998</v>
      </c>
      <c r="C10" s="2">
        <v>130.79999999999998</v>
      </c>
      <c r="D10" s="2">
        <v>174.4</v>
      </c>
    </row>
    <row r="11" spans="1:4" x14ac:dyDescent="0.35">
      <c r="A11" s="1">
        <v>10</v>
      </c>
      <c r="B11" s="2">
        <v>139.79999999999998</v>
      </c>
      <c r="C11" s="2">
        <v>139.79999999999998</v>
      </c>
      <c r="D11" s="2">
        <v>186.4</v>
      </c>
    </row>
    <row r="12" spans="1:4" x14ac:dyDescent="0.35">
      <c r="A12" s="1">
        <v>11</v>
      </c>
      <c r="B12" s="2">
        <v>145.79999999999998</v>
      </c>
      <c r="C12" s="2">
        <v>145.79999999999998</v>
      </c>
      <c r="D12" s="2">
        <v>194.4</v>
      </c>
    </row>
    <row r="13" spans="1:4" x14ac:dyDescent="0.35">
      <c r="A13" s="1">
        <v>12</v>
      </c>
      <c r="B13" s="2">
        <v>146.4</v>
      </c>
      <c r="C13" s="2">
        <v>146.4</v>
      </c>
      <c r="D13" s="2">
        <v>195.20000000000002</v>
      </c>
    </row>
    <row r="14" spans="1:4" x14ac:dyDescent="0.35">
      <c r="A14" s="1">
        <v>13</v>
      </c>
      <c r="B14" s="2">
        <v>146.4</v>
      </c>
      <c r="C14" s="2">
        <v>146.4</v>
      </c>
      <c r="D14" s="2">
        <v>195.20000000000002</v>
      </c>
    </row>
    <row r="15" spans="1:4" x14ac:dyDescent="0.35">
      <c r="A15" s="1">
        <v>14</v>
      </c>
      <c r="B15" s="2">
        <v>150.6</v>
      </c>
      <c r="C15" s="2">
        <v>150.6</v>
      </c>
      <c r="D15" s="2">
        <v>200.8</v>
      </c>
    </row>
    <row r="16" spans="1:4" x14ac:dyDescent="0.35">
      <c r="A16" s="1">
        <v>15</v>
      </c>
      <c r="B16" s="2">
        <v>153.9</v>
      </c>
      <c r="C16" s="2">
        <v>153.9</v>
      </c>
      <c r="D16" s="2">
        <v>205.20000000000002</v>
      </c>
    </row>
    <row r="17" spans="1:4" x14ac:dyDescent="0.35">
      <c r="A17" s="1">
        <v>16</v>
      </c>
      <c r="B17" s="2">
        <v>154.19999999999999</v>
      </c>
      <c r="C17" s="2">
        <v>154.19999999999999</v>
      </c>
      <c r="D17" s="2">
        <v>205.60000000000002</v>
      </c>
    </row>
    <row r="18" spans="1:4" x14ac:dyDescent="0.35">
      <c r="A18" s="1">
        <v>17</v>
      </c>
      <c r="B18" s="2">
        <v>155.1</v>
      </c>
      <c r="C18" s="2">
        <v>155.1</v>
      </c>
      <c r="D18" s="2">
        <v>206.8</v>
      </c>
    </row>
    <row r="19" spans="1:4" x14ac:dyDescent="0.35">
      <c r="A19" s="1">
        <v>18</v>
      </c>
      <c r="B19" s="2">
        <v>151.79999999999998</v>
      </c>
      <c r="C19" s="2">
        <v>151.79999999999998</v>
      </c>
      <c r="D19" s="2">
        <v>202.4</v>
      </c>
    </row>
    <row r="20" spans="1:4" x14ac:dyDescent="0.35">
      <c r="A20" s="1">
        <v>19</v>
      </c>
      <c r="B20" s="2">
        <v>145.5</v>
      </c>
      <c r="C20" s="2">
        <v>145.5</v>
      </c>
      <c r="D20" s="2">
        <v>194</v>
      </c>
    </row>
    <row r="21" spans="1:4" x14ac:dyDescent="0.35">
      <c r="A21" s="1">
        <v>20</v>
      </c>
      <c r="B21" s="2">
        <v>141</v>
      </c>
      <c r="C21" s="2">
        <v>141</v>
      </c>
      <c r="D21" s="2">
        <v>188</v>
      </c>
    </row>
    <row r="22" spans="1:4" x14ac:dyDescent="0.35">
      <c r="A22" s="1">
        <v>21</v>
      </c>
      <c r="B22" s="2">
        <v>133.5</v>
      </c>
      <c r="C22" s="2">
        <v>133.5</v>
      </c>
      <c r="D22" s="2">
        <v>178</v>
      </c>
    </row>
    <row r="23" spans="1:4" x14ac:dyDescent="0.35">
      <c r="A23" s="1">
        <v>22</v>
      </c>
      <c r="B23" s="2">
        <v>124.19999999999999</v>
      </c>
      <c r="C23" s="2">
        <v>124.19999999999999</v>
      </c>
      <c r="D23" s="2">
        <v>165.60000000000002</v>
      </c>
    </row>
    <row r="24" spans="1:4" x14ac:dyDescent="0.35">
      <c r="A24" s="1">
        <v>23</v>
      </c>
      <c r="B24" s="2">
        <v>116.39999999999999</v>
      </c>
      <c r="C24" s="2">
        <v>116.39999999999999</v>
      </c>
      <c r="D24" s="2">
        <v>155.20000000000002</v>
      </c>
    </row>
    <row r="25" spans="1:4" x14ac:dyDescent="0.35">
      <c r="A25" s="1">
        <v>24</v>
      </c>
      <c r="B25" s="2">
        <v>111.89999999999999</v>
      </c>
      <c r="C25" s="2">
        <v>111.89999999999999</v>
      </c>
      <c r="D25" s="2">
        <v>149.20000000000002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AFFB-07FD-4736-958A-75A9796436D7}">
  <dimension ref="A1:Q5"/>
  <sheetViews>
    <sheetView tabSelected="1" workbookViewId="0">
      <selection activeCell="G1" sqref="F1:G1"/>
    </sheetView>
  </sheetViews>
  <sheetFormatPr defaultColWidth="16.640625" defaultRowHeight="14.15" x14ac:dyDescent="0.35"/>
  <cols>
    <col min="1" max="2" width="16.640625" customWidth="1"/>
  </cols>
  <sheetData>
    <row r="1" spans="1:17" s="1" customFormat="1" ht="43.5" customHeight="1" x14ac:dyDescent="0.35">
      <c r="A1" s="1" t="s">
        <v>28</v>
      </c>
      <c r="B1" s="1" t="s">
        <v>0</v>
      </c>
      <c r="C1" s="1" t="s">
        <v>16</v>
      </c>
      <c r="D1" s="1" t="s">
        <v>30</v>
      </c>
      <c r="E1" s="1" t="s">
        <v>29</v>
      </c>
      <c r="F1" s="7" t="s">
        <v>52</v>
      </c>
      <c r="G1" s="7" t="s">
        <v>53</v>
      </c>
      <c r="H1" s="1" t="s">
        <v>2</v>
      </c>
      <c r="I1" s="1" t="s">
        <v>3</v>
      </c>
      <c r="J1" s="1" t="s">
        <v>35</v>
      </c>
      <c r="K1" s="1" t="s">
        <v>31</v>
      </c>
      <c r="L1" s="1" t="s">
        <v>25</v>
      </c>
      <c r="M1" s="1" t="s">
        <v>54</v>
      </c>
      <c r="N1" s="1" t="s">
        <v>55</v>
      </c>
      <c r="O1" s="1" t="s">
        <v>20</v>
      </c>
      <c r="P1" s="1" t="s">
        <v>26</v>
      </c>
      <c r="Q1" s="1" t="s">
        <v>27</v>
      </c>
    </row>
    <row r="2" spans="1:17" x14ac:dyDescent="0.35">
      <c r="A2">
        <v>1</v>
      </c>
      <c r="B2">
        <v>1</v>
      </c>
      <c r="C2">
        <v>6</v>
      </c>
      <c r="D2">
        <v>180</v>
      </c>
      <c r="E2">
        <f>0.1*D2</f>
        <v>18</v>
      </c>
      <c r="F2">
        <f>D2*0.5</f>
        <v>90</v>
      </c>
      <c r="G2">
        <f>D2*0.5</f>
        <v>90</v>
      </c>
      <c r="H2">
        <f>D2*0.2</f>
        <v>36</v>
      </c>
      <c r="I2">
        <f>D2*0.2</f>
        <v>36</v>
      </c>
      <c r="J2">
        <f>0.1*D2</f>
        <v>18</v>
      </c>
      <c r="K2">
        <v>29</v>
      </c>
      <c r="L2">
        <v>105</v>
      </c>
      <c r="M2">
        <v>8</v>
      </c>
      <c r="N2">
        <v>8</v>
      </c>
      <c r="O2">
        <v>19</v>
      </c>
      <c r="P2">
        <v>315</v>
      </c>
      <c r="Q2">
        <v>80</v>
      </c>
    </row>
    <row r="3" spans="1:17" x14ac:dyDescent="0.35">
      <c r="A3">
        <v>2</v>
      </c>
      <c r="B3">
        <v>4</v>
      </c>
      <c r="C3">
        <v>5</v>
      </c>
      <c r="D3">
        <v>130</v>
      </c>
      <c r="E3">
        <f>0.1*D3</f>
        <v>13</v>
      </c>
      <c r="F3">
        <f>D3*0.5</f>
        <v>65</v>
      </c>
      <c r="G3">
        <f>D3*0.5</f>
        <v>65</v>
      </c>
      <c r="H3">
        <f>D3*0.2</f>
        <v>26</v>
      </c>
      <c r="I3">
        <f>D3*0.2</f>
        <v>26</v>
      </c>
      <c r="J3">
        <f>0.1*D3</f>
        <v>13</v>
      </c>
      <c r="K3">
        <v>24</v>
      </c>
      <c r="L3">
        <v>70</v>
      </c>
      <c r="M3">
        <v>6</v>
      </c>
      <c r="N3">
        <v>6</v>
      </c>
      <c r="O3">
        <v>14</v>
      </c>
      <c r="P3">
        <v>210</v>
      </c>
      <c r="Q3">
        <v>53</v>
      </c>
    </row>
    <row r="4" spans="1:17" x14ac:dyDescent="0.35">
      <c r="A4">
        <v>3</v>
      </c>
      <c r="B4">
        <v>4</v>
      </c>
      <c r="C4">
        <v>5</v>
      </c>
      <c r="D4">
        <v>150</v>
      </c>
      <c r="E4">
        <f>0.1*D4</f>
        <v>15</v>
      </c>
      <c r="F4">
        <f>D4*0.5</f>
        <v>75</v>
      </c>
      <c r="G4">
        <f>D4*0.5</f>
        <v>75</v>
      </c>
      <c r="H4">
        <f>D4*0.2</f>
        <v>30</v>
      </c>
      <c r="I4">
        <f>D4*0.2</f>
        <v>30</v>
      </c>
      <c r="J4">
        <f>0.1*D4</f>
        <v>15</v>
      </c>
      <c r="K4">
        <v>26</v>
      </c>
      <c r="L4">
        <v>75</v>
      </c>
      <c r="M4">
        <v>7</v>
      </c>
      <c r="N4">
        <v>7</v>
      </c>
      <c r="O4">
        <v>17</v>
      </c>
      <c r="P4">
        <v>225</v>
      </c>
      <c r="Q4">
        <v>56</v>
      </c>
    </row>
    <row r="5" spans="1:17" x14ac:dyDescent="0.35">
      <c r="A5">
        <v>4</v>
      </c>
      <c r="B5">
        <v>5</v>
      </c>
      <c r="C5">
        <v>6</v>
      </c>
      <c r="D5">
        <v>200</v>
      </c>
      <c r="E5">
        <f>0.1*D5</f>
        <v>20</v>
      </c>
      <c r="F5">
        <f>D5*0.5</f>
        <v>100</v>
      </c>
      <c r="G5">
        <f>D5*0.5</f>
        <v>100</v>
      </c>
      <c r="H5">
        <f>D5*0.2</f>
        <v>40</v>
      </c>
      <c r="I5">
        <f>D5*0.2</f>
        <v>40</v>
      </c>
      <c r="J5">
        <f>0.1*D5</f>
        <v>20</v>
      </c>
      <c r="K5">
        <v>32</v>
      </c>
      <c r="L5">
        <v>120</v>
      </c>
      <c r="M5">
        <v>9</v>
      </c>
      <c r="N5">
        <v>9</v>
      </c>
      <c r="O5">
        <v>20</v>
      </c>
      <c r="P5">
        <v>360</v>
      </c>
      <c r="Q5">
        <v>90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054A-DA9A-4C68-BE19-D2967EA6B657}">
  <dimension ref="A1:G7"/>
  <sheetViews>
    <sheetView workbookViewId="0">
      <selection activeCell="F18" sqref="F18"/>
    </sheetView>
  </sheetViews>
  <sheetFormatPr defaultRowHeight="14.15" x14ac:dyDescent="0.35"/>
  <sheetData>
    <row r="1" spans="1:7" x14ac:dyDescent="0.35">
      <c r="A1" t="s">
        <v>7</v>
      </c>
      <c r="B1" t="s">
        <v>17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5">
      <c r="A2">
        <v>1</v>
      </c>
      <c r="B2">
        <v>1</v>
      </c>
      <c r="C2">
        <v>2</v>
      </c>
      <c r="D2">
        <v>2.81E-3</v>
      </c>
      <c r="E2">
        <v>2.81E-2</v>
      </c>
      <c r="F2">
        <v>7.1199999999999996E-3</v>
      </c>
      <c r="G2">
        <v>240</v>
      </c>
    </row>
    <row r="3" spans="1:7" x14ac:dyDescent="0.35">
      <c r="A3">
        <v>2</v>
      </c>
      <c r="B3">
        <v>1</v>
      </c>
      <c r="C3">
        <v>4</v>
      </c>
      <c r="D3">
        <v>3.0400000000000002E-3</v>
      </c>
      <c r="E3">
        <v>3.04E-2</v>
      </c>
      <c r="F3">
        <v>6.5799999999999999E-3</v>
      </c>
      <c r="G3">
        <v>240</v>
      </c>
    </row>
    <row r="4" spans="1:7" x14ac:dyDescent="0.35">
      <c r="A4">
        <v>3</v>
      </c>
      <c r="B4">
        <v>1</v>
      </c>
      <c r="C4">
        <v>5</v>
      </c>
      <c r="D4">
        <v>6.4000000000000005E-4</v>
      </c>
      <c r="E4">
        <v>6.4000000000000003E-3</v>
      </c>
      <c r="F4">
        <v>3.1260000000000003E-2</v>
      </c>
      <c r="G4">
        <v>240</v>
      </c>
    </row>
    <row r="5" spans="1:7" x14ac:dyDescent="0.35">
      <c r="A5">
        <v>4</v>
      </c>
      <c r="B5">
        <v>2</v>
      </c>
      <c r="C5">
        <v>3</v>
      </c>
      <c r="D5">
        <v>1.08E-3</v>
      </c>
      <c r="E5">
        <v>1.0800000000000001E-2</v>
      </c>
      <c r="F5">
        <v>1.8519999999999998E-2</v>
      </c>
      <c r="G5">
        <v>240</v>
      </c>
    </row>
    <row r="6" spans="1:7" x14ac:dyDescent="0.35">
      <c r="A6">
        <v>5</v>
      </c>
      <c r="B6">
        <v>3</v>
      </c>
      <c r="C6">
        <v>4</v>
      </c>
      <c r="D6">
        <v>2.97E-3</v>
      </c>
      <c r="E6">
        <v>2.9700000000000001E-2</v>
      </c>
      <c r="F6">
        <v>6.7400000000000003E-3</v>
      </c>
      <c r="G6">
        <v>100</v>
      </c>
    </row>
    <row r="7" spans="1:7" x14ac:dyDescent="0.35">
      <c r="A7">
        <v>6</v>
      </c>
      <c r="B7">
        <v>4</v>
      </c>
      <c r="C7">
        <v>5</v>
      </c>
      <c r="D7">
        <v>2.97E-3</v>
      </c>
      <c r="E7">
        <v>2.9700000000000001E-2</v>
      </c>
      <c r="F7">
        <v>6.7400000000000003E-3</v>
      </c>
      <c r="G7">
        <v>240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303C-1BFE-4ACB-9BD5-2E43E6B3529C}">
  <dimension ref="A1:L2"/>
  <sheetViews>
    <sheetView topLeftCell="B1" workbookViewId="0">
      <selection activeCell="H2" sqref="H2"/>
    </sheetView>
  </sheetViews>
  <sheetFormatPr defaultRowHeight="14.15" x14ac:dyDescent="0.35"/>
  <cols>
    <col min="4" max="4" width="10.7109375" customWidth="1"/>
    <col min="5" max="5" width="10.140625" customWidth="1"/>
    <col min="6" max="6" width="16.28515625" customWidth="1"/>
    <col min="7" max="7" width="15" customWidth="1"/>
    <col min="8" max="8" width="11.7109375" customWidth="1"/>
    <col min="9" max="9" width="9.140625" customWidth="1"/>
    <col min="10" max="10" width="16.85546875" customWidth="1"/>
    <col min="11" max="11" width="16.42578125" customWidth="1"/>
    <col min="12" max="12" width="12.140625" customWidth="1"/>
  </cols>
  <sheetData>
    <row r="1" spans="1:12" ht="47.15" customHeight="1" x14ac:dyDescent="0.35">
      <c r="A1" t="s">
        <v>37</v>
      </c>
      <c r="B1" s="1" t="s">
        <v>19</v>
      </c>
      <c r="C1" s="1" t="s">
        <v>16</v>
      </c>
      <c r="D1" s="1" t="s">
        <v>30</v>
      </c>
      <c r="E1" s="1" t="s">
        <v>29</v>
      </c>
      <c r="F1" s="1" t="s">
        <v>2</v>
      </c>
      <c r="G1" s="1" t="s">
        <v>3</v>
      </c>
      <c r="H1" s="1" t="s">
        <v>1</v>
      </c>
      <c r="I1" s="1" t="s">
        <v>4</v>
      </c>
      <c r="J1" s="1" t="s">
        <v>5</v>
      </c>
      <c r="K1" s="1" t="s">
        <v>6</v>
      </c>
      <c r="L1" s="1" t="s">
        <v>20</v>
      </c>
    </row>
    <row r="2" spans="1:12" x14ac:dyDescent="0.35">
      <c r="A2">
        <v>1</v>
      </c>
      <c r="B2" s="1">
        <v>10</v>
      </c>
      <c r="C2" s="1">
        <v>5</v>
      </c>
      <c r="D2" s="1">
        <f>10</f>
        <v>10</v>
      </c>
      <c r="E2" s="1">
        <f>0*D2</f>
        <v>0</v>
      </c>
      <c r="F2" s="1">
        <f>D2*0.2</f>
        <v>2</v>
      </c>
      <c r="G2" s="1">
        <f>D2*0.2</f>
        <v>2</v>
      </c>
      <c r="H2" s="1">
        <f>0.2*D2</f>
        <v>2</v>
      </c>
      <c r="I2" s="1">
        <v>30</v>
      </c>
      <c r="J2" s="1">
        <v>8</v>
      </c>
      <c r="K2" s="1">
        <v>8</v>
      </c>
      <c r="L2" s="1">
        <v>17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13C2-AAFB-47F4-B4DD-175C99FDAEF5}">
  <dimension ref="A1:D2"/>
  <sheetViews>
    <sheetView workbookViewId="0">
      <selection activeCell="C2" sqref="C2"/>
    </sheetView>
  </sheetViews>
  <sheetFormatPr defaultRowHeight="14.15" x14ac:dyDescent="0.35"/>
  <cols>
    <col min="3" max="3" width="15.35546875" customWidth="1"/>
    <col min="4" max="4" width="13.5703125" customWidth="1"/>
  </cols>
  <sheetData>
    <row r="1" spans="1:4" ht="34.75" customHeight="1" x14ac:dyDescent="0.35">
      <c r="A1" t="s">
        <v>37</v>
      </c>
      <c r="B1" s="1" t="s">
        <v>19</v>
      </c>
      <c r="C1" s="1" t="s">
        <v>44</v>
      </c>
      <c r="D1" s="1" t="s">
        <v>43</v>
      </c>
    </row>
    <row r="2" spans="1:4" x14ac:dyDescent="0.35">
      <c r="A2">
        <v>1</v>
      </c>
      <c r="B2" s="1">
        <v>10</v>
      </c>
      <c r="C2" s="1">
        <v>1</v>
      </c>
      <c r="D2" s="1">
        <v>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43F6-0C90-49A6-BCB8-633CCC6FA110}">
  <dimension ref="A1:I2"/>
  <sheetViews>
    <sheetView workbookViewId="0">
      <selection activeCell="D12" sqref="D12"/>
    </sheetView>
  </sheetViews>
  <sheetFormatPr defaultRowHeight="14.15" x14ac:dyDescent="0.35"/>
  <cols>
    <col min="3" max="3" width="19" customWidth="1"/>
    <col min="4" max="4" width="13.2109375" customWidth="1"/>
    <col min="5" max="6" width="13.85546875" customWidth="1"/>
    <col min="7" max="7" width="12.640625" customWidth="1"/>
    <col min="8" max="8" width="10.640625" customWidth="1"/>
    <col min="9" max="9" width="13" customWidth="1"/>
  </cols>
  <sheetData>
    <row r="1" spans="1:9" ht="32.6" customHeight="1" x14ac:dyDescent="0.35">
      <c r="A1" t="s">
        <v>37</v>
      </c>
      <c r="B1" s="1" t="s">
        <v>19</v>
      </c>
      <c r="C1" s="1" t="s">
        <v>33</v>
      </c>
      <c r="D1" s="1" t="s">
        <v>46</v>
      </c>
      <c r="E1" s="1" t="s">
        <v>45</v>
      </c>
      <c r="F1" s="1" t="s">
        <v>41</v>
      </c>
      <c r="G1" s="1" t="s">
        <v>34</v>
      </c>
      <c r="H1" s="1" t="s">
        <v>40</v>
      </c>
      <c r="I1" s="1" t="s">
        <v>43</v>
      </c>
    </row>
    <row r="2" spans="1:9" x14ac:dyDescent="0.35">
      <c r="A2">
        <v>1</v>
      </c>
      <c r="B2" s="1">
        <v>1</v>
      </c>
      <c r="C2" s="1">
        <v>10</v>
      </c>
      <c r="D2" s="1">
        <v>5</v>
      </c>
      <c r="E2" s="1">
        <v>45</v>
      </c>
      <c r="F2" s="1">
        <v>0.9</v>
      </c>
      <c r="G2" s="1">
        <v>25</v>
      </c>
      <c r="H2" s="1">
        <v>2</v>
      </c>
      <c r="I2" s="1">
        <v>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07DF-6653-4121-A3E4-D7BED3B01B50}">
  <dimension ref="A1:D28"/>
  <sheetViews>
    <sheetView workbookViewId="0">
      <selection activeCell="G24" sqref="G24"/>
    </sheetView>
  </sheetViews>
  <sheetFormatPr defaultRowHeight="14.15" x14ac:dyDescent="0.35"/>
  <cols>
    <col min="1" max="1" width="11.2109375" customWidth="1"/>
    <col min="4" max="4" width="13" customWidth="1"/>
  </cols>
  <sheetData>
    <row r="1" spans="1:4" ht="26.6" customHeight="1" x14ac:dyDescent="0.35">
      <c r="A1" t="s">
        <v>37</v>
      </c>
      <c r="B1" s="1" t="s">
        <v>19</v>
      </c>
      <c r="C1" s="1" t="s">
        <v>8</v>
      </c>
      <c r="D1" s="1" t="s">
        <v>43</v>
      </c>
    </row>
    <row r="2" spans="1:4" x14ac:dyDescent="0.35">
      <c r="A2">
        <v>1</v>
      </c>
      <c r="B2" s="1">
        <v>1</v>
      </c>
      <c r="C2" s="1">
        <v>5</v>
      </c>
      <c r="D2" s="1">
        <v>10</v>
      </c>
    </row>
    <row r="3" spans="1:4" x14ac:dyDescent="0.35">
      <c r="B3" s="1"/>
      <c r="C3" s="1"/>
      <c r="D3" s="1"/>
    </row>
    <row r="4" spans="1:4" x14ac:dyDescent="0.35">
      <c r="A4" s="1" t="s">
        <v>14</v>
      </c>
      <c r="B4" t="s">
        <v>38</v>
      </c>
    </row>
    <row r="5" spans="1:4" x14ac:dyDescent="0.35">
      <c r="A5" s="1">
        <v>1</v>
      </c>
      <c r="B5" s="3">
        <v>0</v>
      </c>
      <c r="C5" s="3"/>
    </row>
    <row r="6" spans="1:4" x14ac:dyDescent="0.35">
      <c r="A6" s="1">
        <v>2</v>
      </c>
      <c r="B6" s="3">
        <v>0</v>
      </c>
      <c r="C6" s="3"/>
    </row>
    <row r="7" spans="1:4" x14ac:dyDescent="0.35">
      <c r="A7" s="1">
        <v>3</v>
      </c>
      <c r="B7" s="3">
        <v>0</v>
      </c>
      <c r="C7" s="3"/>
    </row>
    <row r="8" spans="1:4" x14ac:dyDescent="0.35">
      <c r="A8" s="1">
        <v>4</v>
      </c>
      <c r="B8" s="3">
        <v>0</v>
      </c>
      <c r="C8" s="3"/>
    </row>
    <row r="9" spans="1:4" x14ac:dyDescent="0.35">
      <c r="A9" s="1">
        <v>5</v>
      </c>
      <c r="B9" s="3">
        <v>0</v>
      </c>
      <c r="C9" s="3"/>
    </row>
    <row r="10" spans="1:4" x14ac:dyDescent="0.35">
      <c r="A10" s="1">
        <v>6</v>
      </c>
      <c r="B10" s="3">
        <v>0</v>
      </c>
      <c r="C10" s="3"/>
    </row>
    <row r="11" spans="1:4" x14ac:dyDescent="0.35">
      <c r="A11" s="1">
        <v>7</v>
      </c>
      <c r="B11" s="3">
        <v>0.120934424618017</v>
      </c>
      <c r="C11" s="3"/>
    </row>
    <row r="12" spans="1:4" x14ac:dyDescent="0.35">
      <c r="A12" s="1">
        <v>8</v>
      </c>
      <c r="B12" s="3">
        <v>1.5621324848281699</v>
      </c>
      <c r="C12" s="3"/>
    </row>
    <row r="13" spans="1:4" x14ac:dyDescent="0.35">
      <c r="A13" s="1">
        <v>9</v>
      </c>
      <c r="B13" s="3">
        <v>2.6127565489291298</v>
      </c>
      <c r="C13" s="3"/>
    </row>
    <row r="14" spans="1:4" x14ac:dyDescent="0.35">
      <c r="A14" s="1">
        <v>10</v>
      </c>
      <c r="B14" s="3">
        <v>3.6999104867699701</v>
      </c>
      <c r="C14" s="3"/>
    </row>
    <row r="15" spans="1:4" x14ac:dyDescent="0.35">
      <c r="A15" s="1">
        <v>11</v>
      </c>
      <c r="B15" s="3">
        <v>3.94956593088187</v>
      </c>
      <c r="C15" s="3"/>
    </row>
    <row r="16" spans="1:4" x14ac:dyDescent="0.35">
      <c r="A16" s="1">
        <v>12</v>
      </c>
      <c r="B16" s="3">
        <v>4.6226444237729298</v>
      </c>
      <c r="C16" s="3"/>
    </row>
    <row r="17" spans="1:3" x14ac:dyDescent="0.35">
      <c r="A17" s="1">
        <v>13</v>
      </c>
      <c r="B17" s="3">
        <v>4.7065755025201597</v>
      </c>
      <c r="C17" s="3"/>
    </row>
    <row r="18" spans="1:3" x14ac:dyDescent="0.35">
      <c r="A18" s="1">
        <v>14</v>
      </c>
      <c r="B18" s="3">
        <v>4.1302047384440499</v>
      </c>
      <c r="C18" s="3"/>
    </row>
    <row r="19" spans="1:3" x14ac:dyDescent="0.35">
      <c r="A19" s="1">
        <v>15</v>
      </c>
      <c r="B19" s="3">
        <v>3.2901577054217701</v>
      </c>
      <c r="C19" s="3"/>
    </row>
    <row r="20" spans="1:3" x14ac:dyDescent="0.35">
      <c r="A20" s="1">
        <v>16</v>
      </c>
      <c r="B20" s="3">
        <v>2.07625185549337</v>
      </c>
      <c r="C20" s="3"/>
    </row>
    <row r="21" spans="1:3" x14ac:dyDescent="0.35">
      <c r="A21" s="1">
        <v>17</v>
      </c>
      <c r="B21" s="3">
        <v>1.25688552599808</v>
      </c>
      <c r="C21" s="3"/>
    </row>
    <row r="22" spans="1:3" x14ac:dyDescent="0.35">
      <c r="A22" s="1">
        <v>18</v>
      </c>
      <c r="B22" s="3">
        <v>0.29792150769973502</v>
      </c>
      <c r="C22" s="3"/>
    </row>
    <row r="23" spans="1:3" x14ac:dyDescent="0.35">
      <c r="A23" s="1">
        <v>19</v>
      </c>
      <c r="B23" s="3">
        <v>0</v>
      </c>
      <c r="C23" s="3"/>
    </row>
    <row r="24" spans="1:3" x14ac:dyDescent="0.35">
      <c r="A24" s="1">
        <v>20</v>
      </c>
      <c r="B24" s="3">
        <v>0</v>
      </c>
      <c r="C24" s="3"/>
    </row>
    <row r="25" spans="1:3" x14ac:dyDescent="0.35">
      <c r="A25" s="1">
        <v>21</v>
      </c>
      <c r="B25" s="3">
        <v>0</v>
      </c>
      <c r="C25" s="3"/>
    </row>
    <row r="26" spans="1:3" x14ac:dyDescent="0.35">
      <c r="A26" s="1">
        <v>22</v>
      </c>
      <c r="B26" s="3">
        <v>0</v>
      </c>
      <c r="C26" s="3"/>
    </row>
    <row r="27" spans="1:3" x14ac:dyDescent="0.35">
      <c r="A27" s="1">
        <v>23</v>
      </c>
      <c r="B27" s="3">
        <v>0</v>
      </c>
      <c r="C27" s="3"/>
    </row>
    <row r="28" spans="1:3" x14ac:dyDescent="0.35">
      <c r="A28" s="1">
        <v>24</v>
      </c>
      <c r="B28" s="3">
        <v>0</v>
      </c>
      <c r="C28" s="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70139-1F93-4E68-8BBB-7D195ACBBB63}">
  <dimension ref="A1:DR28"/>
  <sheetViews>
    <sheetView zoomScale="70" zoomScaleNormal="70" workbookViewId="0">
      <selection activeCell="F1" sqref="F1:H2"/>
    </sheetView>
  </sheetViews>
  <sheetFormatPr defaultRowHeight="14.15" x14ac:dyDescent="0.35"/>
  <cols>
    <col min="2" max="2" width="14.140625" customWidth="1"/>
    <col min="3" max="3" width="13.2109375" customWidth="1"/>
    <col min="4" max="4" width="20.28515625" customWidth="1"/>
    <col min="5" max="5" width="13.7109375" customWidth="1"/>
    <col min="6" max="6" width="14.28515625" customWidth="1"/>
    <col min="7" max="7" width="18.28515625" customWidth="1"/>
    <col min="8" max="8" width="18.85546875" customWidth="1"/>
    <col min="9" max="9" width="16.28515625" customWidth="1"/>
  </cols>
  <sheetData>
    <row r="1" spans="1:122" ht="31.3" customHeight="1" x14ac:dyDescent="0.35">
      <c r="A1" t="s">
        <v>37</v>
      </c>
      <c r="B1" s="1" t="s">
        <v>19</v>
      </c>
      <c r="C1" s="1" t="s">
        <v>20</v>
      </c>
      <c r="D1" s="1" t="s">
        <v>33</v>
      </c>
      <c r="E1" s="1" t="s">
        <v>46</v>
      </c>
      <c r="F1" s="1" t="s">
        <v>45</v>
      </c>
      <c r="G1" s="1" t="s">
        <v>41</v>
      </c>
      <c r="H1" s="1" t="s">
        <v>34</v>
      </c>
      <c r="I1" s="1" t="s">
        <v>36</v>
      </c>
    </row>
    <row r="2" spans="1:122" x14ac:dyDescent="0.35">
      <c r="A2">
        <v>1</v>
      </c>
      <c r="B2" s="1">
        <v>120</v>
      </c>
      <c r="C2" s="1">
        <v>14</v>
      </c>
      <c r="D2" s="1">
        <v>2.1999999999999999E-2</v>
      </c>
      <c r="E2" s="1">
        <v>6.0000000000000001E-3</v>
      </c>
      <c r="F2" s="1">
        <v>5.3999999999999999E-2</v>
      </c>
      <c r="G2" s="1">
        <v>0.9</v>
      </c>
      <c r="H2" s="1">
        <v>0.02</v>
      </c>
      <c r="I2" s="1">
        <f>D2*0.2</f>
        <v>4.4000000000000003E-3</v>
      </c>
    </row>
    <row r="4" spans="1:122" x14ac:dyDescent="0.35">
      <c r="A4" s="1"/>
    </row>
    <row r="5" spans="1:122" x14ac:dyDescent="0.35">
      <c r="A5" s="1"/>
      <c r="DR5" s="6"/>
    </row>
    <row r="6" spans="1:122" x14ac:dyDescent="0.35">
      <c r="A6" s="1"/>
      <c r="DR6" s="6"/>
    </row>
    <row r="7" spans="1:122" x14ac:dyDescent="0.35">
      <c r="A7" s="1"/>
      <c r="DR7" s="6"/>
    </row>
    <row r="8" spans="1:122" x14ac:dyDescent="0.35">
      <c r="A8" s="1"/>
      <c r="DR8" s="6"/>
    </row>
    <row r="9" spans="1:122" x14ac:dyDescent="0.35">
      <c r="A9" s="1"/>
      <c r="DR9" s="6"/>
    </row>
    <row r="10" spans="1:122" x14ac:dyDescent="0.35">
      <c r="A10" s="1"/>
      <c r="DR10" s="6"/>
    </row>
    <row r="11" spans="1:122" x14ac:dyDescent="0.35">
      <c r="A11" s="1"/>
      <c r="DR11" s="6"/>
    </row>
    <row r="12" spans="1:122" x14ac:dyDescent="0.35">
      <c r="A12" s="1"/>
      <c r="DR12" s="6"/>
    </row>
    <row r="13" spans="1:122" x14ac:dyDescent="0.35">
      <c r="A13" s="1"/>
      <c r="DR13" s="6"/>
    </row>
    <row r="14" spans="1:122" x14ac:dyDescent="0.35">
      <c r="A14" s="1"/>
      <c r="DR14" s="6"/>
    </row>
    <row r="15" spans="1:122" x14ac:dyDescent="0.35">
      <c r="A15" s="1"/>
      <c r="DR15" s="6"/>
    </row>
    <row r="16" spans="1:122" x14ac:dyDescent="0.35">
      <c r="A16" s="1"/>
      <c r="DR16" s="6"/>
    </row>
    <row r="17" spans="1:122" x14ac:dyDescent="0.35">
      <c r="A17" s="1"/>
      <c r="DR17" s="6"/>
    </row>
    <row r="18" spans="1:122" x14ac:dyDescent="0.35">
      <c r="A18" s="1"/>
      <c r="DR18" s="6"/>
    </row>
    <row r="19" spans="1:122" x14ac:dyDescent="0.35">
      <c r="A19" s="1"/>
      <c r="DR19" s="6"/>
    </row>
    <row r="20" spans="1:122" x14ac:dyDescent="0.35">
      <c r="A20" s="1"/>
      <c r="DR20" s="6"/>
    </row>
    <row r="21" spans="1:122" x14ac:dyDescent="0.35">
      <c r="A21" s="1"/>
      <c r="DR21" s="6"/>
    </row>
    <row r="22" spans="1:122" x14ac:dyDescent="0.35">
      <c r="A22" s="1"/>
      <c r="DR22" s="6"/>
    </row>
    <row r="23" spans="1:122" x14ac:dyDescent="0.35">
      <c r="A23" s="1"/>
      <c r="DR23" s="6"/>
    </row>
    <row r="24" spans="1:122" x14ac:dyDescent="0.35">
      <c r="A24" s="1"/>
      <c r="DR24" s="6"/>
    </row>
    <row r="25" spans="1:122" x14ac:dyDescent="0.35">
      <c r="A25" s="1"/>
      <c r="DR25" s="6"/>
    </row>
    <row r="26" spans="1:122" x14ac:dyDescent="0.35">
      <c r="A26" s="1"/>
      <c r="DR26" s="6"/>
    </row>
    <row r="27" spans="1:122" x14ac:dyDescent="0.35">
      <c r="A27" s="1"/>
      <c r="DR27" s="6"/>
    </row>
    <row r="28" spans="1:122" x14ac:dyDescent="0.35">
      <c r="A28" s="1"/>
      <c r="DR28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76B7-732A-48CE-955B-01B1466587E7}">
  <dimension ref="A1:I28"/>
  <sheetViews>
    <sheetView workbookViewId="0">
      <selection activeCell="J1" sqref="J1"/>
    </sheetView>
  </sheetViews>
  <sheetFormatPr defaultRowHeight="14.15" x14ac:dyDescent="0.35"/>
  <cols>
    <col min="1" max="1" width="9.140625" style="1"/>
    <col min="2" max="2" width="14.140625" style="1" customWidth="1"/>
    <col min="3" max="3" width="11.92578125" style="1" customWidth="1"/>
    <col min="4" max="6" width="14.0703125" style="1" customWidth="1"/>
    <col min="7" max="7" width="13.2109375" style="1" customWidth="1"/>
    <col min="8" max="8" width="14.5703125" style="1" customWidth="1"/>
    <col min="9" max="9" width="12.640625" style="1" customWidth="1"/>
    <col min="10" max="16384" width="9.140625" style="1"/>
  </cols>
  <sheetData>
    <row r="1" spans="1:9" ht="30" customHeight="1" x14ac:dyDescent="0.35">
      <c r="A1" s="1" t="s">
        <v>37</v>
      </c>
      <c r="B1" s="1" t="s">
        <v>19</v>
      </c>
      <c r="C1" s="1" t="s">
        <v>20</v>
      </c>
      <c r="D1" s="1" t="s">
        <v>30</v>
      </c>
      <c r="E1" s="1" t="s">
        <v>45</v>
      </c>
      <c r="F1" s="1" t="s">
        <v>34</v>
      </c>
      <c r="G1" s="1" t="s">
        <v>39</v>
      </c>
      <c r="H1" s="1" t="s">
        <v>41</v>
      </c>
      <c r="I1" s="1" t="s">
        <v>47</v>
      </c>
    </row>
    <row r="2" spans="1:9" x14ac:dyDescent="0.35">
      <c r="A2" s="1">
        <v>1</v>
      </c>
      <c r="B2" s="1">
        <v>1</v>
      </c>
      <c r="C2" s="1">
        <v>11</v>
      </c>
      <c r="D2" s="1">
        <v>0.4</v>
      </c>
      <c r="E2" s="1">
        <v>4</v>
      </c>
      <c r="F2" s="1">
        <v>2</v>
      </c>
      <c r="G2" s="1">
        <v>0.875</v>
      </c>
      <c r="H2" s="1">
        <v>45</v>
      </c>
      <c r="I2" s="1">
        <f>D2*0.2</f>
        <v>8.0000000000000016E-2</v>
      </c>
    </row>
    <row r="4" spans="1:9" ht="28.3" x14ac:dyDescent="0.35">
      <c r="A4" s="1" t="s">
        <v>14</v>
      </c>
      <c r="B4" s="1" t="s">
        <v>42</v>
      </c>
    </row>
    <row r="5" spans="1:9" x14ac:dyDescent="0.35">
      <c r="A5" s="1">
        <v>1</v>
      </c>
      <c r="B5" s="2">
        <v>-2.4972253442661798</v>
      </c>
    </row>
    <row r="6" spans="1:9" x14ac:dyDescent="0.35">
      <c r="A6" s="1">
        <v>2</v>
      </c>
      <c r="B6" s="2">
        <v>-2.3597551924170399</v>
      </c>
    </row>
    <row r="7" spans="1:9" x14ac:dyDescent="0.35">
      <c r="A7" s="1">
        <v>3</v>
      </c>
      <c r="B7" s="2">
        <v>-2.3596681864256199</v>
      </c>
    </row>
    <row r="8" spans="1:9" x14ac:dyDescent="0.35">
      <c r="A8" s="1">
        <v>4</v>
      </c>
      <c r="B8" s="2">
        <v>-2.3483262814674299</v>
      </c>
    </row>
    <row r="9" spans="1:9" x14ac:dyDescent="0.35">
      <c r="A9" s="1">
        <v>5</v>
      </c>
      <c r="B9" s="2">
        <v>-2.58693266362063</v>
      </c>
    </row>
    <row r="10" spans="1:9" x14ac:dyDescent="0.35">
      <c r="A10" s="1">
        <v>6</v>
      </c>
      <c r="B10" s="2">
        <v>-2.9381326807695198</v>
      </c>
    </row>
    <row r="11" spans="1:9" x14ac:dyDescent="0.35">
      <c r="A11" s="1">
        <v>7</v>
      </c>
      <c r="B11" s="2">
        <v>-4.5706300264858202</v>
      </c>
    </row>
    <row r="12" spans="1:9" x14ac:dyDescent="0.35">
      <c r="A12" s="1">
        <v>8</v>
      </c>
      <c r="B12" s="2">
        <v>-5.8113082915805796</v>
      </c>
    </row>
    <row r="13" spans="1:9" x14ac:dyDescent="0.35">
      <c r="A13" s="1">
        <v>9</v>
      </c>
      <c r="B13" s="2">
        <v>-6.9664041249203796</v>
      </c>
    </row>
    <row r="14" spans="1:9" x14ac:dyDescent="0.35">
      <c r="A14" s="1">
        <v>10</v>
      </c>
      <c r="B14" s="2">
        <v>-6.9775467326175802</v>
      </c>
    </row>
    <row r="15" spans="1:9" x14ac:dyDescent="0.35">
      <c r="A15" s="1">
        <v>11</v>
      </c>
      <c r="B15" s="2">
        <v>-6.8490771613514001</v>
      </c>
    </row>
    <row r="16" spans="1:9" x14ac:dyDescent="0.35">
      <c r="A16" s="1">
        <v>12</v>
      </c>
      <c r="B16" s="2">
        <v>-6.8241911283728403</v>
      </c>
    </row>
    <row r="17" spans="1:2" x14ac:dyDescent="0.35">
      <c r="A17" s="1">
        <v>13</v>
      </c>
      <c r="B17" s="2">
        <v>-5.62835230340092</v>
      </c>
    </row>
    <row r="18" spans="1:2" x14ac:dyDescent="0.35">
      <c r="A18" s="1">
        <v>14</v>
      </c>
      <c r="B18" s="2">
        <v>-5.3940490077264203</v>
      </c>
    </row>
    <row r="19" spans="1:2" x14ac:dyDescent="0.35">
      <c r="A19" s="1">
        <v>15</v>
      </c>
      <c r="B19" s="2">
        <v>-6.9589809066399804</v>
      </c>
    </row>
    <row r="20" spans="1:2" x14ac:dyDescent="0.35">
      <c r="A20" s="1">
        <v>16</v>
      </c>
      <c r="B20" s="2">
        <v>-6.92286107307641</v>
      </c>
    </row>
    <row r="21" spans="1:2" x14ac:dyDescent="0.35">
      <c r="A21" s="1">
        <v>17</v>
      </c>
      <c r="B21" s="2">
        <v>-7.0443745903248498</v>
      </c>
    </row>
    <row r="22" spans="1:2" x14ac:dyDescent="0.35">
      <c r="A22" s="1">
        <v>18</v>
      </c>
      <c r="B22" s="2">
        <v>-7.4518883091403199</v>
      </c>
    </row>
    <row r="23" spans="1:2" x14ac:dyDescent="0.35">
      <c r="A23" s="1">
        <v>19</v>
      </c>
      <c r="B23" s="2">
        <v>-5.2967967669968203</v>
      </c>
    </row>
    <row r="24" spans="1:2" x14ac:dyDescent="0.35">
      <c r="A24" s="1">
        <v>20</v>
      </c>
      <c r="B24" s="2">
        <v>-5.1751240284860698</v>
      </c>
    </row>
    <row r="25" spans="1:2" x14ac:dyDescent="0.35">
      <c r="A25" s="1">
        <v>21</v>
      </c>
      <c r="B25" s="2">
        <v>-3.8667179414956498</v>
      </c>
    </row>
    <row r="26" spans="1:2" x14ac:dyDescent="0.35">
      <c r="A26" s="1">
        <v>22</v>
      </c>
      <c r="B26" s="2">
        <v>-3.3014243205615701</v>
      </c>
    </row>
    <row r="27" spans="1:2" x14ac:dyDescent="0.35">
      <c r="A27" s="1">
        <v>23</v>
      </c>
      <c r="B27" s="2">
        <v>-2.40284374995406</v>
      </c>
    </row>
    <row r="28" spans="1:2" x14ac:dyDescent="0.35">
      <c r="A28" s="1">
        <v>24</v>
      </c>
      <c r="B28" s="2">
        <v>-2.5108353252629398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Wind</vt:lpstr>
      <vt:lpstr>Load</vt:lpstr>
      <vt:lpstr>Generator</vt:lpstr>
      <vt:lpstr>Line</vt:lpstr>
      <vt:lpstr>VPP_SG</vt:lpstr>
      <vt:lpstr>VPP_AM</vt:lpstr>
      <vt:lpstr>VPP_ES</vt:lpstr>
      <vt:lpstr>VPP_PV</vt:lpstr>
      <vt:lpstr>VPP_EV</vt:lpstr>
      <vt:lpstr>VPP_AC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Li</dc:creator>
  <cp:lastModifiedBy>Jiajia Liu</cp:lastModifiedBy>
  <dcterms:created xsi:type="dcterms:W3CDTF">2015-06-05T18:19:34Z</dcterms:created>
  <dcterms:modified xsi:type="dcterms:W3CDTF">2026-02-28T14:04:41Z</dcterms:modified>
</cp:coreProperties>
</file>